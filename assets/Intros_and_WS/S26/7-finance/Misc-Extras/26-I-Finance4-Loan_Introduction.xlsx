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scenario 1" sheetId="2" r:id="rId6"/>
    <sheet state="visible" name="scenario 2" sheetId="3" r:id="rId7"/>
    <sheet state="visible" name="scenario 3" sheetId="4" r:id="rId8"/>
    <sheet state="visible" name="formal " sheetId="5" r:id="rId9"/>
  </sheets>
  <definedNames/>
  <calcPr/>
</workbook>
</file>

<file path=xl/sharedStrings.xml><?xml version="1.0" encoding="utf-8"?>
<sst xmlns="http://schemas.openxmlformats.org/spreadsheetml/2006/main" count="77" uniqueCount="43">
  <si>
    <t>Set up</t>
  </si>
  <si>
    <t>House Price</t>
  </si>
  <si>
    <t>interest rate</t>
  </si>
  <si>
    <t>times per year</t>
  </si>
  <si>
    <t xml:space="preserve">Goal: </t>
  </si>
  <si>
    <t>Model various loan scenarios.</t>
  </si>
  <si>
    <t>Evaluate the trade-offs of different choices.</t>
  </si>
  <si>
    <t>Establish some formulas</t>
  </si>
  <si>
    <t>Time</t>
  </si>
  <si>
    <t>payments per year</t>
  </si>
  <si>
    <t>monthly payment</t>
  </si>
  <si>
    <t>interest pd</t>
  </si>
  <si>
    <t>principal pd</t>
  </si>
  <si>
    <t>remaining principal</t>
  </si>
  <si>
    <t>House Cost</t>
  </si>
  <si>
    <t>time (years)</t>
  </si>
  <si>
    <t>interest added</t>
  </si>
  <si>
    <t>Remaining Principal (Loan Amnt)</t>
  </si>
  <si>
    <t>Loan Amount</t>
  </si>
  <si>
    <t>Time to payoff</t>
  </si>
  <si>
    <t>30 years</t>
  </si>
  <si>
    <t>Total Cost of Loan</t>
  </si>
  <si>
    <t>Down payment</t>
  </si>
  <si>
    <t>Interest Cost</t>
  </si>
  <si>
    <t>Total Cost of House</t>
  </si>
  <si>
    <t>payment</t>
  </si>
  <si>
    <t>Remaining Loan Amount</t>
  </si>
  <si>
    <t>Total Cost</t>
  </si>
  <si>
    <t>21.5 years</t>
  </si>
  <si>
    <t>loan amount</t>
  </si>
  <si>
    <t>APR (decimal)</t>
  </si>
  <si>
    <t>compounding times per year</t>
  </si>
  <si>
    <t>length of loan (years)</t>
  </si>
  <si>
    <t>loan payment each period</t>
  </si>
  <si>
    <t>How large a loan can I afford?</t>
  </si>
  <si>
    <t>P</t>
  </si>
  <si>
    <t>r</t>
  </si>
  <si>
    <t>n</t>
  </si>
  <si>
    <t>t</t>
  </si>
  <si>
    <t>d</t>
  </si>
  <si>
    <t>P = d * ( 1 -  (1+ r / n) ^(-n*t) ) / ( r / n )</t>
  </si>
  <si>
    <t>How much will my payments be?</t>
  </si>
  <si>
    <t>d = (    P  *  (r / n)      )  /  (  1  -   (  1  +  (r / n)  ) ^(-n * t )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</si>
</sst>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2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ill="1" applyFont="1">
      <alignment readingOrder="0" shrinkToFit="0" wrapText="1"/>
    </xf>
    <xf borderId="0" fillId="3" fontId="1" numFmtId="164" xfId="0" applyAlignment="1" applyFont="1" applyNumberFormat="1">
      <alignment shrinkToFit="0" wrapText="1"/>
    </xf>
    <xf borderId="0" fillId="2" fontId="1" numFmtId="0" xfId="0" applyFont="1"/>
    <xf borderId="0" fillId="0" fontId="1" numFmtId="2" xfId="0" applyFont="1" applyNumberFormat="1"/>
    <xf borderId="0" fillId="3" fontId="1" numFmtId="0" xfId="0" applyAlignment="1" applyFont="1">
      <alignment readingOrder="0"/>
    </xf>
    <xf borderId="0" fillId="3" fontId="1" numFmtId="164" xfId="0" applyFont="1" applyNumberFormat="1"/>
    <xf borderId="0" fillId="2" fontId="1" numFmtId="0" xfId="0" applyAlignment="1" applyFont="1">
      <alignment readingOrder="0"/>
    </xf>
    <xf borderId="0" fillId="2" fontId="1" numFmtId="9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164" xfId="0" applyFont="1" applyNumberFormat="1"/>
    <xf borderId="0" fillId="2" fontId="2" numFmtId="0" xfId="0" applyFont="1"/>
    <xf borderId="0" fillId="2" fontId="2" numFmtId="2" xfId="0" applyFont="1" applyNumberFormat="1"/>
    <xf borderId="0" fillId="2" fontId="1" numFmtId="164" xfId="0" applyFont="1" applyNumberFormat="1"/>
    <xf borderId="0" fillId="2" fontId="2" numFmtId="164" xfId="0" applyFont="1" applyNumberFormat="1"/>
    <xf borderId="0" fillId="0" fontId="1" numFmtId="2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 shrinkToFit="0" wrapText="1"/>
    </xf>
    <xf borderId="0" fillId="5" fontId="1" numFmtId="0" xfId="0" applyAlignment="1" applyFont="1">
      <alignment readingOrder="0"/>
    </xf>
    <xf borderId="0" fillId="5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Intro!$A$14:$A$234</c:f>
            </c:strRef>
          </c:cat>
          <c:val>
            <c:numRef>
              <c:f>Intro!$E$14:$E$234</c:f>
              <c:numCache/>
            </c:numRef>
          </c:val>
          <c:smooth val="0"/>
        </c:ser>
        <c:axId val="870192229"/>
        <c:axId val="1922833886"/>
      </c:lineChart>
      <c:catAx>
        <c:axId val="870192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833886"/>
      </c:catAx>
      <c:valAx>
        <c:axId val="1922833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192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Remaining Loan Amount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'scenario 1'!$H$1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'scenario 1'!$H$2:$H$1000</c:f>
              <c:numCache/>
            </c:numRef>
          </c:val>
          <c:smooth val="0"/>
        </c:ser>
        <c:axId val="1546408996"/>
        <c:axId val="297598129"/>
      </c:lineChart>
      <c:catAx>
        <c:axId val="1546408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598129"/>
      </c:catAx>
      <c:valAx>
        <c:axId val="297598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Remaining Loan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408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interest added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'scenario 1'!$F$1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'scenario 1'!$F$2:$F$1000</c:f>
              <c:numCache/>
            </c:numRef>
          </c:val>
          <c:smooth val="0"/>
        </c:ser>
        <c:axId val="1429575245"/>
        <c:axId val="205584274"/>
      </c:lineChart>
      <c:catAx>
        <c:axId val="1429575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84274"/>
      </c:catAx>
      <c:valAx>
        <c:axId val="205584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interest added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575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principal pd vs. time (years)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'scenario 1'!$G$1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'scenario 1'!$D$2:$D$1000</c:f>
            </c:numRef>
          </c:xVal>
          <c:yVal>
            <c:numRef>
              <c:f>'scenario 1'!$G$2:$G$1000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231800"/>
        <c:axId val="1194694837"/>
      </c:scatterChart>
      <c:valAx>
        <c:axId val="2152318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(years)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694837"/>
      </c:valAx>
      <c:valAx>
        <c:axId val="1194694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principal pd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231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Remaining Loan Amount vs. time (years)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'scenario 2'!$F$1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'scenario 2'!$D$2:$D$1000</c:f>
            </c:numRef>
          </c:xVal>
          <c:yVal>
            <c:numRef>
              <c:f>'scenario 2'!$F$2:$F$1000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756585"/>
        <c:axId val="1237306546"/>
      </c:scatterChart>
      <c:valAx>
        <c:axId val="11947565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(years)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306546"/>
      </c:valAx>
      <c:valAx>
        <c:axId val="1237306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Remaining Loan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756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6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285750</xdr:colOff>
      <xdr:row>8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50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400050</xdr:colOff>
      <xdr:row>27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771525</xdr:colOff>
      <xdr:row>6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0"/>
    <col customWidth="1" min="4" max="4" width="15.25"/>
    <col customWidth="1" min="7" max="7" width="17.38"/>
  </cols>
  <sheetData>
    <row r="1">
      <c r="A1" s="1" t="s">
        <v>0</v>
      </c>
    </row>
    <row r="3">
      <c r="A3" s="1" t="s">
        <v>1</v>
      </c>
      <c r="B3" s="2">
        <f>200000</f>
        <v>200000</v>
      </c>
    </row>
    <row r="4">
      <c r="A4" s="1" t="s">
        <v>2</v>
      </c>
      <c r="B4" s="3">
        <f>0.064</f>
        <v>0.064</v>
      </c>
    </row>
    <row r="5">
      <c r="A5" s="1" t="s">
        <v>3</v>
      </c>
      <c r="B5" s="3">
        <f>12</f>
        <v>12</v>
      </c>
    </row>
    <row r="7">
      <c r="A7" s="1" t="s">
        <v>4</v>
      </c>
      <c r="B7" s="1" t="s">
        <v>5</v>
      </c>
    </row>
    <row r="8">
      <c r="B8" s="1" t="s">
        <v>6</v>
      </c>
    </row>
    <row r="9">
      <c r="B9" s="1" t="s">
        <v>7</v>
      </c>
    </row>
    <row r="12">
      <c r="A12" s="1" t="s">
        <v>8</v>
      </c>
      <c r="B12" s="1" t="s">
        <v>9</v>
      </c>
      <c r="C12" s="1" t="s">
        <v>2</v>
      </c>
      <c r="D12" s="1" t="s">
        <v>10</v>
      </c>
      <c r="E12" s="1" t="s">
        <v>11</v>
      </c>
      <c r="F12" s="1" t="s">
        <v>12</v>
      </c>
      <c r="G12" s="1" t="s">
        <v>13</v>
      </c>
    </row>
    <row r="13">
      <c r="A13" s="1">
        <v>0.0</v>
      </c>
      <c r="B13" s="1">
        <f t="shared" ref="B13:B292" si="1">12</f>
        <v>12</v>
      </c>
      <c r="C13" s="1">
        <v>0.06</v>
      </c>
      <c r="D13" s="1">
        <v>2000.0</v>
      </c>
      <c r="G13" s="3">
        <f>200000</f>
        <v>200000</v>
      </c>
    </row>
    <row r="14">
      <c r="A14" s="3">
        <f t="shared" ref="A14:A292" si="3">A13+1/B13</f>
        <v>0.08333333333</v>
      </c>
      <c r="B14" s="1">
        <f t="shared" si="1"/>
        <v>12</v>
      </c>
      <c r="C14" s="1">
        <f t="shared" ref="C14:D14" si="2">C13</f>
        <v>0.06</v>
      </c>
      <c r="D14" s="1">
        <f t="shared" si="2"/>
        <v>2000</v>
      </c>
      <c r="E14" s="3">
        <f t="shared" ref="E14:E292" si="5">G13*(C13/B13)</f>
        <v>1000</v>
      </c>
      <c r="F14" s="3">
        <f t="shared" ref="F14:F292" si="6">D14-E14</f>
        <v>1000</v>
      </c>
      <c r="G14" s="3">
        <f t="shared" ref="G14:G292" si="7">G13-F14</f>
        <v>199000</v>
      </c>
    </row>
    <row r="15">
      <c r="A15" s="3">
        <f t="shared" si="3"/>
        <v>0.1666666667</v>
      </c>
      <c r="B15" s="1">
        <f t="shared" si="1"/>
        <v>12</v>
      </c>
      <c r="C15" s="1">
        <f t="shared" ref="C15:D15" si="4">C14</f>
        <v>0.06</v>
      </c>
      <c r="D15" s="1">
        <f t="shared" si="4"/>
        <v>2000</v>
      </c>
      <c r="E15" s="3">
        <f t="shared" si="5"/>
        <v>995</v>
      </c>
      <c r="F15" s="3">
        <f t="shared" si="6"/>
        <v>1005</v>
      </c>
      <c r="G15" s="3">
        <f t="shared" si="7"/>
        <v>197995</v>
      </c>
    </row>
    <row r="16">
      <c r="A16" s="3">
        <f t="shared" si="3"/>
        <v>0.25</v>
      </c>
      <c r="B16" s="1">
        <f t="shared" si="1"/>
        <v>12</v>
      </c>
      <c r="C16" s="1">
        <f t="shared" ref="C16:D16" si="8">C15</f>
        <v>0.06</v>
      </c>
      <c r="D16" s="1">
        <f t="shared" si="8"/>
        <v>2000</v>
      </c>
      <c r="E16" s="3">
        <f t="shared" si="5"/>
        <v>989.975</v>
      </c>
      <c r="F16" s="3">
        <f t="shared" si="6"/>
        <v>1010.025</v>
      </c>
      <c r="G16" s="3">
        <f t="shared" si="7"/>
        <v>196984.975</v>
      </c>
    </row>
    <row r="17">
      <c r="A17" s="3">
        <f t="shared" si="3"/>
        <v>0.3333333333</v>
      </c>
      <c r="B17" s="1">
        <f t="shared" si="1"/>
        <v>12</v>
      </c>
      <c r="C17" s="1">
        <f t="shared" ref="C17:D17" si="9">C16</f>
        <v>0.06</v>
      </c>
      <c r="D17" s="1">
        <f t="shared" si="9"/>
        <v>2000</v>
      </c>
      <c r="E17" s="3">
        <f t="shared" si="5"/>
        <v>984.924875</v>
      </c>
      <c r="F17" s="3">
        <f t="shared" si="6"/>
        <v>1015.075125</v>
      </c>
      <c r="G17" s="3">
        <f t="shared" si="7"/>
        <v>195969.8999</v>
      </c>
    </row>
    <row r="18">
      <c r="A18" s="3">
        <f t="shared" si="3"/>
        <v>0.4166666667</v>
      </c>
      <c r="B18" s="1">
        <f t="shared" si="1"/>
        <v>12</v>
      </c>
      <c r="C18" s="1">
        <f t="shared" ref="C18:D18" si="10">C17</f>
        <v>0.06</v>
      </c>
      <c r="D18" s="1">
        <f t="shared" si="10"/>
        <v>2000</v>
      </c>
      <c r="E18" s="3">
        <f t="shared" si="5"/>
        <v>979.8494994</v>
      </c>
      <c r="F18" s="3">
        <f t="shared" si="6"/>
        <v>1020.150501</v>
      </c>
      <c r="G18" s="3">
        <f t="shared" si="7"/>
        <v>194949.7494</v>
      </c>
    </row>
    <row r="19">
      <c r="A19" s="3">
        <f t="shared" si="3"/>
        <v>0.5</v>
      </c>
      <c r="B19" s="1">
        <f t="shared" si="1"/>
        <v>12</v>
      </c>
      <c r="C19" s="1">
        <f t="shared" ref="C19:D19" si="11">C18</f>
        <v>0.06</v>
      </c>
      <c r="D19" s="1">
        <f t="shared" si="11"/>
        <v>2000</v>
      </c>
      <c r="E19" s="3">
        <f t="shared" si="5"/>
        <v>974.7487469</v>
      </c>
      <c r="F19" s="3">
        <f t="shared" si="6"/>
        <v>1025.251253</v>
      </c>
      <c r="G19" s="3">
        <f t="shared" si="7"/>
        <v>193924.4981</v>
      </c>
    </row>
    <row r="20">
      <c r="A20" s="3">
        <f t="shared" si="3"/>
        <v>0.5833333333</v>
      </c>
      <c r="B20" s="1">
        <f t="shared" si="1"/>
        <v>12</v>
      </c>
      <c r="C20" s="1">
        <f t="shared" ref="C20:D20" si="12">C19</f>
        <v>0.06</v>
      </c>
      <c r="D20" s="1">
        <f t="shared" si="12"/>
        <v>2000</v>
      </c>
      <c r="E20" s="3">
        <f t="shared" si="5"/>
        <v>969.6224906</v>
      </c>
      <c r="F20" s="3">
        <f t="shared" si="6"/>
        <v>1030.377509</v>
      </c>
      <c r="G20" s="3">
        <f t="shared" si="7"/>
        <v>192894.1206</v>
      </c>
    </row>
    <row r="21">
      <c r="A21" s="3">
        <f t="shared" si="3"/>
        <v>0.6666666667</v>
      </c>
      <c r="B21" s="1">
        <f t="shared" si="1"/>
        <v>12</v>
      </c>
      <c r="C21" s="1">
        <f t="shared" ref="C21:D21" si="13">C20</f>
        <v>0.06</v>
      </c>
      <c r="D21" s="1">
        <f t="shared" si="13"/>
        <v>2000</v>
      </c>
      <c r="E21" s="3">
        <f t="shared" si="5"/>
        <v>964.4706031</v>
      </c>
      <c r="F21" s="3">
        <f t="shared" si="6"/>
        <v>1035.529397</v>
      </c>
      <c r="G21" s="3">
        <f t="shared" si="7"/>
        <v>191858.5912</v>
      </c>
    </row>
    <row r="22">
      <c r="A22" s="3">
        <f t="shared" si="3"/>
        <v>0.75</v>
      </c>
      <c r="B22" s="1">
        <f t="shared" si="1"/>
        <v>12</v>
      </c>
      <c r="C22" s="1">
        <f t="shared" ref="C22:D22" si="14">C21</f>
        <v>0.06</v>
      </c>
      <c r="D22" s="1">
        <f t="shared" si="14"/>
        <v>2000</v>
      </c>
      <c r="E22" s="3">
        <f t="shared" si="5"/>
        <v>959.2929561</v>
      </c>
      <c r="F22" s="3">
        <f t="shared" si="6"/>
        <v>1040.707044</v>
      </c>
      <c r="G22" s="3">
        <f t="shared" si="7"/>
        <v>190817.8842</v>
      </c>
    </row>
    <row r="23">
      <c r="A23" s="3">
        <f t="shared" si="3"/>
        <v>0.8333333333</v>
      </c>
      <c r="B23" s="1">
        <f t="shared" si="1"/>
        <v>12</v>
      </c>
      <c r="C23" s="1">
        <f t="shared" ref="C23:D23" si="15">C22</f>
        <v>0.06</v>
      </c>
      <c r="D23" s="1">
        <f t="shared" si="15"/>
        <v>2000</v>
      </c>
      <c r="E23" s="3">
        <f t="shared" si="5"/>
        <v>954.0894209</v>
      </c>
      <c r="F23" s="3">
        <f t="shared" si="6"/>
        <v>1045.910579</v>
      </c>
      <c r="G23" s="3">
        <f t="shared" si="7"/>
        <v>189771.9736</v>
      </c>
    </row>
    <row r="24">
      <c r="A24" s="3">
        <f t="shared" si="3"/>
        <v>0.9166666667</v>
      </c>
      <c r="B24" s="1">
        <f t="shared" si="1"/>
        <v>12</v>
      </c>
      <c r="C24" s="1">
        <f t="shared" ref="C24:D24" si="16">C23</f>
        <v>0.06</v>
      </c>
      <c r="D24" s="1">
        <f t="shared" si="16"/>
        <v>2000</v>
      </c>
      <c r="E24" s="3">
        <f t="shared" si="5"/>
        <v>948.859868</v>
      </c>
      <c r="F24" s="3">
        <f t="shared" si="6"/>
        <v>1051.140132</v>
      </c>
      <c r="G24" s="3">
        <f t="shared" si="7"/>
        <v>188720.8335</v>
      </c>
    </row>
    <row r="25">
      <c r="A25" s="3">
        <f t="shared" si="3"/>
        <v>1</v>
      </c>
      <c r="B25" s="1">
        <f t="shared" si="1"/>
        <v>12</v>
      </c>
      <c r="C25" s="1">
        <f t="shared" ref="C25:D25" si="17">C24</f>
        <v>0.06</v>
      </c>
      <c r="D25" s="1">
        <f t="shared" si="17"/>
        <v>2000</v>
      </c>
      <c r="E25" s="3">
        <f t="shared" si="5"/>
        <v>943.6041673</v>
      </c>
      <c r="F25" s="3">
        <f t="shared" si="6"/>
        <v>1056.395833</v>
      </c>
      <c r="G25" s="3">
        <f t="shared" si="7"/>
        <v>187664.4376</v>
      </c>
    </row>
    <row r="26">
      <c r="A26" s="3">
        <f t="shared" si="3"/>
        <v>1.083333333</v>
      </c>
      <c r="B26" s="1">
        <f t="shared" si="1"/>
        <v>12</v>
      </c>
      <c r="C26" s="1">
        <f t="shared" ref="C26:D26" si="18">C25</f>
        <v>0.06</v>
      </c>
      <c r="D26" s="1">
        <f t="shared" si="18"/>
        <v>2000</v>
      </c>
      <c r="E26" s="3">
        <f t="shared" si="5"/>
        <v>938.3221881</v>
      </c>
      <c r="F26" s="3">
        <f t="shared" si="6"/>
        <v>1061.677812</v>
      </c>
      <c r="G26" s="3">
        <f t="shared" si="7"/>
        <v>186602.7598</v>
      </c>
    </row>
    <row r="27">
      <c r="A27" s="3">
        <f t="shared" si="3"/>
        <v>1.166666667</v>
      </c>
      <c r="B27" s="1">
        <f t="shared" si="1"/>
        <v>12</v>
      </c>
      <c r="C27" s="1">
        <f t="shared" ref="C27:D27" si="19">C26</f>
        <v>0.06</v>
      </c>
      <c r="D27" s="1">
        <f t="shared" si="19"/>
        <v>2000</v>
      </c>
      <c r="E27" s="3">
        <f t="shared" si="5"/>
        <v>933.0137991</v>
      </c>
      <c r="F27" s="3">
        <f t="shared" si="6"/>
        <v>1066.986201</v>
      </c>
      <c r="G27" s="3">
        <f t="shared" si="7"/>
        <v>185535.7736</v>
      </c>
    </row>
    <row r="28">
      <c r="A28" s="3">
        <f t="shared" si="3"/>
        <v>1.25</v>
      </c>
      <c r="B28" s="1">
        <f t="shared" si="1"/>
        <v>12</v>
      </c>
      <c r="C28" s="1">
        <f t="shared" ref="C28:D28" si="20">C27</f>
        <v>0.06</v>
      </c>
      <c r="D28" s="1">
        <f t="shared" si="20"/>
        <v>2000</v>
      </c>
      <c r="E28" s="3">
        <f t="shared" si="5"/>
        <v>927.6788681</v>
      </c>
      <c r="F28" s="3">
        <f t="shared" si="6"/>
        <v>1072.321132</v>
      </c>
      <c r="G28" s="3">
        <f t="shared" si="7"/>
        <v>184463.4525</v>
      </c>
    </row>
    <row r="29">
      <c r="A29" s="3">
        <f t="shared" si="3"/>
        <v>1.333333333</v>
      </c>
      <c r="B29" s="1">
        <f t="shared" si="1"/>
        <v>12</v>
      </c>
      <c r="C29" s="1">
        <f t="shared" ref="C29:D29" si="21">C28</f>
        <v>0.06</v>
      </c>
      <c r="D29" s="1">
        <f t="shared" si="21"/>
        <v>2000</v>
      </c>
      <c r="E29" s="3">
        <f t="shared" si="5"/>
        <v>922.3172624</v>
      </c>
      <c r="F29" s="3">
        <f t="shared" si="6"/>
        <v>1077.682738</v>
      </c>
      <c r="G29" s="3">
        <f t="shared" si="7"/>
        <v>183385.7697</v>
      </c>
    </row>
    <row r="30">
      <c r="A30" s="3">
        <f t="shared" si="3"/>
        <v>1.416666667</v>
      </c>
      <c r="B30" s="1">
        <f t="shared" si="1"/>
        <v>12</v>
      </c>
      <c r="C30" s="1">
        <f t="shared" ref="C30:D30" si="22">C29</f>
        <v>0.06</v>
      </c>
      <c r="D30" s="1">
        <f t="shared" si="22"/>
        <v>2000</v>
      </c>
      <c r="E30" s="3">
        <f t="shared" si="5"/>
        <v>916.9288487</v>
      </c>
      <c r="F30" s="3">
        <f t="shared" si="6"/>
        <v>1083.071151</v>
      </c>
      <c r="G30" s="3">
        <f t="shared" si="7"/>
        <v>182302.6986</v>
      </c>
    </row>
    <row r="31">
      <c r="A31" s="3">
        <f t="shared" si="3"/>
        <v>1.5</v>
      </c>
      <c r="B31" s="1">
        <f t="shared" si="1"/>
        <v>12</v>
      </c>
      <c r="C31" s="1">
        <f t="shared" ref="C31:D31" si="23">C30</f>
        <v>0.06</v>
      </c>
      <c r="D31" s="1">
        <f t="shared" si="23"/>
        <v>2000</v>
      </c>
      <c r="E31" s="3">
        <f t="shared" si="5"/>
        <v>911.513493</v>
      </c>
      <c r="F31" s="3">
        <f t="shared" si="6"/>
        <v>1088.486507</v>
      </c>
      <c r="G31" s="3">
        <f t="shared" si="7"/>
        <v>181214.2121</v>
      </c>
    </row>
    <row r="32">
      <c r="A32" s="3">
        <f t="shared" si="3"/>
        <v>1.583333333</v>
      </c>
      <c r="B32" s="1">
        <f t="shared" si="1"/>
        <v>12</v>
      </c>
      <c r="C32" s="1">
        <f t="shared" ref="C32:D32" si="24">C31</f>
        <v>0.06</v>
      </c>
      <c r="D32" s="1">
        <f t="shared" si="24"/>
        <v>2000</v>
      </c>
      <c r="E32" s="3">
        <f t="shared" si="5"/>
        <v>906.0710604</v>
      </c>
      <c r="F32" s="3">
        <f t="shared" si="6"/>
        <v>1093.92894</v>
      </c>
      <c r="G32" s="3">
        <f t="shared" si="7"/>
        <v>180120.2831</v>
      </c>
    </row>
    <row r="33">
      <c r="A33" s="3">
        <f t="shared" si="3"/>
        <v>1.666666667</v>
      </c>
      <c r="B33" s="1">
        <f t="shared" si="1"/>
        <v>12</v>
      </c>
      <c r="C33" s="1">
        <f t="shared" ref="C33:D33" si="25">C32</f>
        <v>0.06</v>
      </c>
      <c r="D33" s="1">
        <f t="shared" si="25"/>
        <v>2000</v>
      </c>
      <c r="E33" s="3">
        <f t="shared" si="5"/>
        <v>900.6014157</v>
      </c>
      <c r="F33" s="3">
        <f t="shared" si="6"/>
        <v>1099.398584</v>
      </c>
      <c r="G33" s="3">
        <f t="shared" si="7"/>
        <v>179020.8846</v>
      </c>
    </row>
    <row r="34">
      <c r="A34" s="3">
        <f t="shared" si="3"/>
        <v>1.75</v>
      </c>
      <c r="B34" s="1">
        <f t="shared" si="1"/>
        <v>12</v>
      </c>
      <c r="C34" s="1">
        <f t="shared" ref="C34:D34" si="26">C33</f>
        <v>0.06</v>
      </c>
      <c r="D34" s="1">
        <f t="shared" si="26"/>
        <v>2000</v>
      </c>
      <c r="E34" s="3">
        <f t="shared" si="5"/>
        <v>895.1044228</v>
      </c>
      <c r="F34" s="3">
        <f t="shared" si="6"/>
        <v>1104.895577</v>
      </c>
      <c r="G34" s="3">
        <f t="shared" si="7"/>
        <v>177915.989</v>
      </c>
    </row>
    <row r="35">
      <c r="A35" s="3">
        <f t="shared" si="3"/>
        <v>1.833333333</v>
      </c>
      <c r="B35" s="1">
        <f t="shared" si="1"/>
        <v>12</v>
      </c>
      <c r="C35" s="1">
        <f t="shared" ref="C35:D35" si="27">C34</f>
        <v>0.06</v>
      </c>
      <c r="D35" s="1">
        <f t="shared" si="27"/>
        <v>2000</v>
      </c>
      <c r="E35" s="3">
        <f t="shared" si="5"/>
        <v>889.5799449</v>
      </c>
      <c r="F35" s="3">
        <f t="shared" si="6"/>
        <v>1110.420055</v>
      </c>
      <c r="G35" s="3">
        <f t="shared" si="7"/>
        <v>176805.5689</v>
      </c>
    </row>
    <row r="36">
      <c r="A36" s="3">
        <f t="shared" si="3"/>
        <v>1.916666667</v>
      </c>
      <c r="B36" s="1">
        <f t="shared" si="1"/>
        <v>12</v>
      </c>
      <c r="C36" s="1">
        <f t="shared" ref="C36:D36" si="28">C35</f>
        <v>0.06</v>
      </c>
      <c r="D36" s="1">
        <f t="shared" si="28"/>
        <v>2000</v>
      </c>
      <c r="E36" s="3">
        <f t="shared" si="5"/>
        <v>884.0278447</v>
      </c>
      <c r="F36" s="3">
        <f t="shared" si="6"/>
        <v>1115.972155</v>
      </c>
      <c r="G36" s="3">
        <f t="shared" si="7"/>
        <v>175689.5968</v>
      </c>
    </row>
    <row r="37">
      <c r="A37" s="3">
        <f t="shared" si="3"/>
        <v>2</v>
      </c>
      <c r="B37" s="1">
        <f t="shared" si="1"/>
        <v>12</v>
      </c>
      <c r="C37" s="1">
        <f t="shared" ref="C37:D37" si="29">C36</f>
        <v>0.06</v>
      </c>
      <c r="D37" s="1">
        <f t="shared" si="29"/>
        <v>2000</v>
      </c>
      <c r="E37" s="3">
        <f t="shared" si="5"/>
        <v>878.4479839</v>
      </c>
      <c r="F37" s="3">
        <f t="shared" si="6"/>
        <v>1121.552016</v>
      </c>
      <c r="G37" s="3">
        <f t="shared" si="7"/>
        <v>174568.0448</v>
      </c>
    </row>
    <row r="38">
      <c r="A38" s="3">
        <f t="shared" si="3"/>
        <v>2.083333333</v>
      </c>
      <c r="B38" s="1">
        <f t="shared" si="1"/>
        <v>12</v>
      </c>
      <c r="C38" s="1">
        <f t="shared" ref="C38:D38" si="30">C37</f>
        <v>0.06</v>
      </c>
      <c r="D38" s="1">
        <f t="shared" si="30"/>
        <v>2000</v>
      </c>
      <c r="E38" s="3">
        <f t="shared" si="5"/>
        <v>872.8402238</v>
      </c>
      <c r="F38" s="3">
        <f t="shared" si="6"/>
        <v>1127.159776</v>
      </c>
      <c r="G38" s="3">
        <f t="shared" si="7"/>
        <v>173440.885</v>
      </c>
    </row>
    <row r="39">
      <c r="A39" s="3">
        <f t="shared" si="3"/>
        <v>2.166666667</v>
      </c>
      <c r="B39" s="1">
        <f t="shared" si="1"/>
        <v>12</v>
      </c>
      <c r="C39" s="1">
        <f t="shared" ref="C39:D39" si="31">C38</f>
        <v>0.06</v>
      </c>
      <c r="D39" s="1">
        <f t="shared" si="31"/>
        <v>2000</v>
      </c>
      <c r="E39" s="3">
        <f t="shared" si="5"/>
        <v>867.2044249</v>
      </c>
      <c r="F39" s="3">
        <f t="shared" si="6"/>
        <v>1132.795575</v>
      </c>
      <c r="G39" s="3">
        <f t="shared" si="7"/>
        <v>172308.0894</v>
      </c>
    </row>
    <row r="40">
      <c r="A40" s="3">
        <f t="shared" si="3"/>
        <v>2.25</v>
      </c>
      <c r="B40" s="1">
        <f t="shared" si="1"/>
        <v>12</v>
      </c>
      <c r="C40" s="1">
        <f t="shared" ref="C40:D40" si="32">C39</f>
        <v>0.06</v>
      </c>
      <c r="D40" s="1">
        <f t="shared" si="32"/>
        <v>2000</v>
      </c>
      <c r="E40" s="3">
        <f t="shared" si="5"/>
        <v>861.540447</v>
      </c>
      <c r="F40" s="3">
        <f t="shared" si="6"/>
        <v>1138.459553</v>
      </c>
      <c r="G40" s="3">
        <f t="shared" si="7"/>
        <v>171169.6299</v>
      </c>
    </row>
    <row r="41">
      <c r="A41" s="3">
        <f t="shared" si="3"/>
        <v>2.333333333</v>
      </c>
      <c r="B41" s="1">
        <f t="shared" si="1"/>
        <v>12</v>
      </c>
      <c r="C41" s="1">
        <f t="shared" ref="C41:D41" si="33">C40</f>
        <v>0.06</v>
      </c>
      <c r="D41" s="1">
        <f t="shared" si="33"/>
        <v>2000</v>
      </c>
      <c r="E41" s="3">
        <f t="shared" si="5"/>
        <v>855.8481493</v>
      </c>
      <c r="F41" s="3">
        <f t="shared" si="6"/>
        <v>1144.151851</v>
      </c>
      <c r="G41" s="3">
        <f t="shared" si="7"/>
        <v>170025.478</v>
      </c>
    </row>
    <row r="42">
      <c r="A42" s="3">
        <f t="shared" si="3"/>
        <v>2.416666667</v>
      </c>
      <c r="B42" s="1">
        <f t="shared" si="1"/>
        <v>12</v>
      </c>
      <c r="C42" s="1">
        <f t="shared" ref="C42:D42" si="34">C41</f>
        <v>0.06</v>
      </c>
      <c r="D42" s="1">
        <f t="shared" si="34"/>
        <v>2000</v>
      </c>
      <c r="E42" s="3">
        <f t="shared" si="5"/>
        <v>850.12739</v>
      </c>
      <c r="F42" s="3">
        <f t="shared" si="6"/>
        <v>1149.87261</v>
      </c>
      <c r="G42" s="3">
        <f t="shared" si="7"/>
        <v>168875.6054</v>
      </c>
    </row>
    <row r="43">
      <c r="A43" s="3">
        <f t="shared" si="3"/>
        <v>2.5</v>
      </c>
      <c r="B43" s="1">
        <f t="shared" si="1"/>
        <v>12</v>
      </c>
      <c r="C43" s="1">
        <f t="shared" ref="C43:D43" si="35">C42</f>
        <v>0.06</v>
      </c>
      <c r="D43" s="1">
        <f t="shared" si="35"/>
        <v>2000</v>
      </c>
      <c r="E43" s="3">
        <f t="shared" si="5"/>
        <v>844.378027</v>
      </c>
      <c r="F43" s="3">
        <f t="shared" si="6"/>
        <v>1155.621973</v>
      </c>
      <c r="G43" s="3">
        <f t="shared" si="7"/>
        <v>167719.9834</v>
      </c>
    </row>
    <row r="44">
      <c r="A44" s="3">
        <f t="shared" si="3"/>
        <v>2.583333333</v>
      </c>
      <c r="B44" s="1">
        <f t="shared" si="1"/>
        <v>12</v>
      </c>
      <c r="C44" s="1">
        <f t="shared" ref="C44:D44" si="36">C43</f>
        <v>0.06</v>
      </c>
      <c r="D44" s="1">
        <f t="shared" si="36"/>
        <v>2000</v>
      </c>
      <c r="E44" s="3">
        <f t="shared" si="5"/>
        <v>838.5999171</v>
      </c>
      <c r="F44" s="3">
        <f t="shared" si="6"/>
        <v>1161.400083</v>
      </c>
      <c r="G44" s="3">
        <f t="shared" si="7"/>
        <v>166558.5833</v>
      </c>
    </row>
    <row r="45">
      <c r="A45" s="3">
        <f t="shared" si="3"/>
        <v>2.666666667</v>
      </c>
      <c r="B45" s="1">
        <f t="shared" si="1"/>
        <v>12</v>
      </c>
      <c r="C45" s="1">
        <f t="shared" ref="C45:D45" si="37">C44</f>
        <v>0.06</v>
      </c>
      <c r="D45" s="1">
        <f t="shared" si="37"/>
        <v>2000</v>
      </c>
      <c r="E45" s="3">
        <f t="shared" si="5"/>
        <v>832.7929167</v>
      </c>
      <c r="F45" s="3">
        <f t="shared" si="6"/>
        <v>1167.207083</v>
      </c>
      <c r="G45" s="3">
        <f t="shared" si="7"/>
        <v>165391.3763</v>
      </c>
    </row>
    <row r="46">
      <c r="A46" s="3">
        <f t="shared" si="3"/>
        <v>2.75</v>
      </c>
      <c r="B46" s="1">
        <f t="shared" si="1"/>
        <v>12</v>
      </c>
      <c r="C46" s="1">
        <f t="shared" ref="C46:D46" si="38">C45</f>
        <v>0.06</v>
      </c>
      <c r="D46" s="1">
        <f t="shared" si="38"/>
        <v>2000</v>
      </c>
      <c r="E46" s="3">
        <f t="shared" si="5"/>
        <v>826.9568813</v>
      </c>
      <c r="F46" s="3">
        <f t="shared" si="6"/>
        <v>1173.043119</v>
      </c>
      <c r="G46" s="3">
        <f t="shared" si="7"/>
        <v>164218.3331</v>
      </c>
    </row>
    <row r="47">
      <c r="A47" s="3">
        <f t="shared" si="3"/>
        <v>2.833333333</v>
      </c>
      <c r="B47" s="1">
        <f t="shared" si="1"/>
        <v>12</v>
      </c>
      <c r="C47" s="1">
        <f t="shared" ref="C47:D47" si="39">C46</f>
        <v>0.06</v>
      </c>
      <c r="D47" s="1">
        <f t="shared" si="39"/>
        <v>2000</v>
      </c>
      <c r="E47" s="3">
        <f t="shared" si="5"/>
        <v>821.0916657</v>
      </c>
      <c r="F47" s="3">
        <f t="shared" si="6"/>
        <v>1178.908334</v>
      </c>
      <c r="G47" s="3">
        <f t="shared" si="7"/>
        <v>163039.4248</v>
      </c>
    </row>
    <row r="48">
      <c r="A48" s="3">
        <f t="shared" si="3"/>
        <v>2.916666667</v>
      </c>
      <c r="B48" s="1">
        <f t="shared" si="1"/>
        <v>12</v>
      </c>
      <c r="C48" s="1">
        <f t="shared" ref="C48:D48" si="40">C47</f>
        <v>0.06</v>
      </c>
      <c r="D48" s="1">
        <f t="shared" si="40"/>
        <v>2000</v>
      </c>
      <c r="E48" s="3">
        <f t="shared" si="5"/>
        <v>815.197124</v>
      </c>
      <c r="F48" s="3">
        <f t="shared" si="6"/>
        <v>1184.802876</v>
      </c>
      <c r="G48" s="3">
        <f t="shared" si="7"/>
        <v>161854.6219</v>
      </c>
    </row>
    <row r="49">
      <c r="A49" s="3">
        <f t="shared" si="3"/>
        <v>3</v>
      </c>
      <c r="B49" s="1">
        <f t="shared" si="1"/>
        <v>12</v>
      </c>
      <c r="C49" s="1">
        <f t="shared" ref="C49:D49" si="41">C48</f>
        <v>0.06</v>
      </c>
      <c r="D49" s="1">
        <f t="shared" si="41"/>
        <v>2000</v>
      </c>
      <c r="E49" s="3">
        <f t="shared" si="5"/>
        <v>809.2731096</v>
      </c>
      <c r="F49" s="3">
        <f t="shared" si="6"/>
        <v>1190.72689</v>
      </c>
      <c r="G49" s="3">
        <f t="shared" si="7"/>
        <v>160663.895</v>
      </c>
    </row>
    <row r="50">
      <c r="A50" s="3">
        <f t="shared" si="3"/>
        <v>3.083333333</v>
      </c>
      <c r="B50" s="1">
        <f t="shared" si="1"/>
        <v>12</v>
      </c>
      <c r="C50" s="1">
        <f t="shared" ref="C50:D50" si="42">C49</f>
        <v>0.06</v>
      </c>
      <c r="D50" s="1">
        <f t="shared" si="42"/>
        <v>2000</v>
      </c>
      <c r="E50" s="3">
        <f t="shared" si="5"/>
        <v>803.3194752</v>
      </c>
      <c r="F50" s="3">
        <f t="shared" si="6"/>
        <v>1196.680525</v>
      </c>
      <c r="G50" s="3">
        <f t="shared" si="7"/>
        <v>159467.2145</v>
      </c>
    </row>
    <row r="51">
      <c r="A51" s="3">
        <f t="shared" si="3"/>
        <v>3.166666667</v>
      </c>
      <c r="B51" s="1">
        <f t="shared" si="1"/>
        <v>12</v>
      </c>
      <c r="C51" s="1">
        <f t="shared" ref="C51:D51" si="43">C50</f>
        <v>0.06</v>
      </c>
      <c r="D51" s="1">
        <f t="shared" si="43"/>
        <v>2000</v>
      </c>
      <c r="E51" s="3">
        <f t="shared" si="5"/>
        <v>797.3360726</v>
      </c>
      <c r="F51" s="3">
        <f t="shared" si="6"/>
        <v>1202.663927</v>
      </c>
      <c r="G51" s="3">
        <f t="shared" si="7"/>
        <v>158264.5506</v>
      </c>
    </row>
    <row r="52">
      <c r="A52" s="3">
        <f t="shared" si="3"/>
        <v>3.25</v>
      </c>
      <c r="B52" s="1">
        <f t="shared" si="1"/>
        <v>12</v>
      </c>
      <c r="C52" s="1">
        <f t="shared" ref="C52:D52" si="44">C51</f>
        <v>0.06</v>
      </c>
      <c r="D52" s="1">
        <f t="shared" si="44"/>
        <v>2000</v>
      </c>
      <c r="E52" s="3">
        <f t="shared" si="5"/>
        <v>791.3227529</v>
      </c>
      <c r="F52" s="3">
        <f t="shared" si="6"/>
        <v>1208.677247</v>
      </c>
      <c r="G52" s="3">
        <f t="shared" si="7"/>
        <v>157055.8733</v>
      </c>
    </row>
    <row r="53">
      <c r="A53" s="3">
        <f t="shared" si="3"/>
        <v>3.333333333</v>
      </c>
      <c r="B53" s="1">
        <f t="shared" si="1"/>
        <v>12</v>
      </c>
      <c r="C53" s="1">
        <f t="shared" ref="C53:D53" si="45">C52</f>
        <v>0.06</v>
      </c>
      <c r="D53" s="1">
        <f t="shared" si="45"/>
        <v>2000</v>
      </c>
      <c r="E53" s="3">
        <f t="shared" si="5"/>
        <v>785.2793667</v>
      </c>
      <c r="F53" s="3">
        <f t="shared" si="6"/>
        <v>1214.720633</v>
      </c>
      <c r="G53" s="3">
        <f t="shared" si="7"/>
        <v>155841.1527</v>
      </c>
    </row>
    <row r="54">
      <c r="A54" s="3">
        <f t="shared" si="3"/>
        <v>3.416666667</v>
      </c>
      <c r="B54" s="1">
        <f t="shared" si="1"/>
        <v>12</v>
      </c>
      <c r="C54" s="1">
        <f t="shared" ref="C54:D54" si="46">C53</f>
        <v>0.06</v>
      </c>
      <c r="D54" s="1">
        <f t="shared" si="46"/>
        <v>2000</v>
      </c>
      <c r="E54" s="3">
        <f t="shared" si="5"/>
        <v>779.2057635</v>
      </c>
      <c r="F54" s="3">
        <f t="shared" si="6"/>
        <v>1220.794236</v>
      </c>
      <c r="G54" s="3">
        <f t="shared" si="7"/>
        <v>154620.3585</v>
      </c>
    </row>
    <row r="55">
      <c r="A55" s="3">
        <f t="shared" si="3"/>
        <v>3.5</v>
      </c>
      <c r="B55" s="1">
        <f t="shared" si="1"/>
        <v>12</v>
      </c>
      <c r="C55" s="1">
        <f t="shared" ref="C55:D55" si="47">C54</f>
        <v>0.06</v>
      </c>
      <c r="D55" s="1">
        <f t="shared" si="47"/>
        <v>2000</v>
      </c>
      <c r="E55" s="3">
        <f t="shared" si="5"/>
        <v>773.1017923</v>
      </c>
      <c r="F55" s="3">
        <f t="shared" si="6"/>
        <v>1226.898208</v>
      </c>
      <c r="G55" s="3">
        <f t="shared" si="7"/>
        <v>153393.4603</v>
      </c>
    </row>
    <row r="56">
      <c r="A56" s="3">
        <f t="shared" si="3"/>
        <v>3.583333333</v>
      </c>
      <c r="B56" s="1">
        <f t="shared" si="1"/>
        <v>12</v>
      </c>
      <c r="C56" s="1">
        <f t="shared" ref="C56:D56" si="48">C55</f>
        <v>0.06</v>
      </c>
      <c r="D56" s="1">
        <f t="shared" si="48"/>
        <v>2000</v>
      </c>
      <c r="E56" s="3">
        <f t="shared" si="5"/>
        <v>766.9673013</v>
      </c>
      <c r="F56" s="3">
        <f t="shared" si="6"/>
        <v>1233.032699</v>
      </c>
      <c r="G56" s="3">
        <f t="shared" si="7"/>
        <v>152160.4276</v>
      </c>
    </row>
    <row r="57">
      <c r="A57" s="3">
        <f t="shared" si="3"/>
        <v>3.666666667</v>
      </c>
      <c r="B57" s="1">
        <f t="shared" si="1"/>
        <v>12</v>
      </c>
      <c r="C57" s="1">
        <f t="shared" ref="C57:D57" si="49">C56</f>
        <v>0.06</v>
      </c>
      <c r="D57" s="1">
        <f t="shared" si="49"/>
        <v>2000</v>
      </c>
      <c r="E57" s="3">
        <f t="shared" si="5"/>
        <v>760.8021378</v>
      </c>
      <c r="F57" s="3">
        <f t="shared" si="6"/>
        <v>1239.197862</v>
      </c>
      <c r="G57" s="3">
        <f t="shared" si="7"/>
        <v>150921.2297</v>
      </c>
    </row>
    <row r="58">
      <c r="A58" s="3">
        <f t="shared" si="3"/>
        <v>3.75</v>
      </c>
      <c r="B58" s="1">
        <f t="shared" si="1"/>
        <v>12</v>
      </c>
      <c r="C58" s="1">
        <f t="shared" ref="C58:D58" si="50">C57</f>
        <v>0.06</v>
      </c>
      <c r="D58" s="1">
        <f t="shared" si="50"/>
        <v>2000</v>
      </c>
      <c r="E58" s="3">
        <f t="shared" si="5"/>
        <v>754.6061485</v>
      </c>
      <c r="F58" s="3">
        <f t="shared" si="6"/>
        <v>1245.393852</v>
      </c>
      <c r="G58" s="3">
        <f t="shared" si="7"/>
        <v>149675.8358</v>
      </c>
    </row>
    <row r="59">
      <c r="A59" s="3">
        <f t="shared" si="3"/>
        <v>3.833333333</v>
      </c>
      <c r="B59" s="1">
        <f t="shared" si="1"/>
        <v>12</v>
      </c>
      <c r="C59" s="1">
        <f t="shared" ref="C59:D59" si="51">C58</f>
        <v>0.06</v>
      </c>
      <c r="D59" s="1">
        <f t="shared" si="51"/>
        <v>2000</v>
      </c>
      <c r="E59" s="3">
        <f t="shared" si="5"/>
        <v>748.3791792</v>
      </c>
      <c r="F59" s="3">
        <f t="shared" si="6"/>
        <v>1251.620821</v>
      </c>
      <c r="G59" s="3">
        <f t="shared" si="7"/>
        <v>148424.215</v>
      </c>
    </row>
    <row r="60">
      <c r="A60" s="3">
        <f t="shared" si="3"/>
        <v>3.916666667</v>
      </c>
      <c r="B60" s="1">
        <f t="shared" si="1"/>
        <v>12</v>
      </c>
      <c r="C60" s="1">
        <f t="shared" ref="C60:D60" si="52">C59</f>
        <v>0.06</v>
      </c>
      <c r="D60" s="1">
        <f t="shared" si="52"/>
        <v>2000</v>
      </c>
      <c r="E60" s="3">
        <f t="shared" si="5"/>
        <v>742.1210751</v>
      </c>
      <c r="F60" s="3">
        <f t="shared" si="6"/>
        <v>1257.878925</v>
      </c>
      <c r="G60" s="3">
        <f t="shared" si="7"/>
        <v>147166.3361</v>
      </c>
    </row>
    <row r="61">
      <c r="A61" s="3">
        <f t="shared" si="3"/>
        <v>4</v>
      </c>
      <c r="B61" s="1">
        <f t="shared" si="1"/>
        <v>12</v>
      </c>
      <c r="C61" s="1">
        <f t="shared" ref="C61:D61" si="53">C60</f>
        <v>0.06</v>
      </c>
      <c r="D61" s="1">
        <f t="shared" si="53"/>
        <v>2000</v>
      </c>
      <c r="E61" s="3">
        <f t="shared" si="5"/>
        <v>735.8316805</v>
      </c>
      <c r="F61" s="3">
        <f t="shared" si="6"/>
        <v>1264.168319</v>
      </c>
      <c r="G61" s="3">
        <f t="shared" si="7"/>
        <v>145902.1678</v>
      </c>
    </row>
    <row r="62">
      <c r="A62" s="3">
        <f t="shared" si="3"/>
        <v>4.083333333</v>
      </c>
      <c r="B62" s="1">
        <f t="shared" si="1"/>
        <v>12</v>
      </c>
      <c r="C62" s="1">
        <f t="shared" ref="C62:D62" si="54">C61</f>
        <v>0.06</v>
      </c>
      <c r="D62" s="1">
        <f t="shared" si="54"/>
        <v>2000</v>
      </c>
      <c r="E62" s="3">
        <f t="shared" si="5"/>
        <v>729.5108389</v>
      </c>
      <c r="F62" s="3">
        <f t="shared" si="6"/>
        <v>1270.489161</v>
      </c>
      <c r="G62" s="3">
        <f t="shared" si="7"/>
        <v>144631.6786</v>
      </c>
    </row>
    <row r="63">
      <c r="A63" s="3">
        <f t="shared" si="3"/>
        <v>4.166666667</v>
      </c>
      <c r="B63" s="1">
        <f t="shared" si="1"/>
        <v>12</v>
      </c>
      <c r="C63" s="1">
        <f t="shared" ref="C63:D63" si="55">C62</f>
        <v>0.06</v>
      </c>
      <c r="D63" s="1">
        <f t="shared" si="55"/>
        <v>2000</v>
      </c>
      <c r="E63" s="3">
        <f t="shared" si="5"/>
        <v>723.1583931</v>
      </c>
      <c r="F63" s="3">
        <f t="shared" si="6"/>
        <v>1276.841607</v>
      </c>
      <c r="G63" s="3">
        <f t="shared" si="7"/>
        <v>143354.837</v>
      </c>
    </row>
    <row r="64">
      <c r="A64" s="3">
        <f t="shared" si="3"/>
        <v>4.25</v>
      </c>
      <c r="B64" s="1">
        <f t="shared" si="1"/>
        <v>12</v>
      </c>
      <c r="C64" s="1">
        <f t="shared" ref="C64:D64" si="56">C63</f>
        <v>0.06</v>
      </c>
      <c r="D64" s="1">
        <f t="shared" si="56"/>
        <v>2000</v>
      </c>
      <c r="E64" s="3">
        <f t="shared" si="5"/>
        <v>716.7741851</v>
      </c>
      <c r="F64" s="3">
        <f t="shared" si="6"/>
        <v>1283.225815</v>
      </c>
      <c r="G64" s="3">
        <f t="shared" si="7"/>
        <v>142071.6112</v>
      </c>
    </row>
    <row r="65">
      <c r="A65" s="3">
        <f t="shared" si="3"/>
        <v>4.333333333</v>
      </c>
      <c r="B65" s="1">
        <f t="shared" si="1"/>
        <v>12</v>
      </c>
      <c r="C65" s="1">
        <f t="shared" ref="C65:D65" si="57">C64</f>
        <v>0.06</v>
      </c>
      <c r="D65" s="1">
        <f t="shared" si="57"/>
        <v>2000</v>
      </c>
      <c r="E65" s="3">
        <f t="shared" si="5"/>
        <v>710.358056</v>
      </c>
      <c r="F65" s="3">
        <f t="shared" si="6"/>
        <v>1289.641944</v>
      </c>
      <c r="G65" s="3">
        <f t="shared" si="7"/>
        <v>140781.9693</v>
      </c>
    </row>
    <row r="66">
      <c r="A66" s="3">
        <f t="shared" si="3"/>
        <v>4.416666667</v>
      </c>
      <c r="B66" s="1">
        <f t="shared" si="1"/>
        <v>12</v>
      </c>
      <c r="C66" s="1">
        <f t="shared" ref="C66:D66" si="58">C65</f>
        <v>0.06</v>
      </c>
      <c r="D66" s="1">
        <f t="shared" si="58"/>
        <v>2000</v>
      </c>
      <c r="E66" s="3">
        <f t="shared" si="5"/>
        <v>703.9098463</v>
      </c>
      <c r="F66" s="3">
        <f t="shared" si="6"/>
        <v>1296.090154</v>
      </c>
      <c r="G66" s="3">
        <f t="shared" si="7"/>
        <v>139485.8791</v>
      </c>
    </row>
    <row r="67">
      <c r="A67" s="3">
        <f t="shared" si="3"/>
        <v>4.5</v>
      </c>
      <c r="B67" s="1">
        <f t="shared" si="1"/>
        <v>12</v>
      </c>
      <c r="C67" s="1">
        <f t="shared" ref="C67:D67" si="59">C66</f>
        <v>0.06</v>
      </c>
      <c r="D67" s="1">
        <f t="shared" si="59"/>
        <v>2000</v>
      </c>
      <c r="E67" s="3">
        <f t="shared" si="5"/>
        <v>697.4293955</v>
      </c>
      <c r="F67" s="3">
        <f t="shared" si="6"/>
        <v>1302.570604</v>
      </c>
      <c r="G67" s="3">
        <f t="shared" si="7"/>
        <v>138183.3085</v>
      </c>
    </row>
    <row r="68">
      <c r="A68" s="3">
        <f t="shared" si="3"/>
        <v>4.583333333</v>
      </c>
      <c r="B68" s="1">
        <f t="shared" si="1"/>
        <v>12</v>
      </c>
      <c r="C68" s="1">
        <f t="shared" ref="C68:D68" si="60">C67</f>
        <v>0.06</v>
      </c>
      <c r="D68" s="1">
        <f t="shared" si="60"/>
        <v>2000</v>
      </c>
      <c r="E68" s="3">
        <f t="shared" si="5"/>
        <v>690.9165425</v>
      </c>
      <c r="F68" s="3">
        <f t="shared" si="6"/>
        <v>1309.083458</v>
      </c>
      <c r="G68" s="3">
        <f t="shared" si="7"/>
        <v>136874.225</v>
      </c>
    </row>
    <row r="69">
      <c r="A69" s="3">
        <f t="shared" si="3"/>
        <v>4.666666667</v>
      </c>
      <c r="B69" s="1">
        <f t="shared" si="1"/>
        <v>12</v>
      </c>
      <c r="C69" s="1">
        <f t="shared" ref="C69:D69" si="61">C68</f>
        <v>0.06</v>
      </c>
      <c r="D69" s="1">
        <f t="shared" si="61"/>
        <v>2000</v>
      </c>
      <c r="E69" s="3">
        <f t="shared" si="5"/>
        <v>684.3711252</v>
      </c>
      <c r="F69" s="3">
        <f t="shared" si="6"/>
        <v>1315.628875</v>
      </c>
      <c r="G69" s="3">
        <f t="shared" si="7"/>
        <v>135558.5962</v>
      </c>
    </row>
    <row r="70">
      <c r="A70" s="3">
        <f t="shared" si="3"/>
        <v>4.75</v>
      </c>
      <c r="B70" s="1">
        <f t="shared" si="1"/>
        <v>12</v>
      </c>
      <c r="C70" s="1">
        <f t="shared" ref="C70:D70" si="62">C69</f>
        <v>0.06</v>
      </c>
      <c r="D70" s="1">
        <f t="shared" si="62"/>
        <v>2000</v>
      </c>
      <c r="E70" s="3">
        <f t="shared" si="5"/>
        <v>677.7929808</v>
      </c>
      <c r="F70" s="3">
        <f t="shared" si="6"/>
        <v>1322.207019</v>
      </c>
      <c r="G70" s="3">
        <f t="shared" si="7"/>
        <v>134236.3891</v>
      </c>
    </row>
    <row r="71">
      <c r="A71" s="3">
        <f t="shared" si="3"/>
        <v>4.833333333</v>
      </c>
      <c r="B71" s="1">
        <f t="shared" si="1"/>
        <v>12</v>
      </c>
      <c r="C71" s="1">
        <f t="shared" ref="C71:D71" si="63">C70</f>
        <v>0.06</v>
      </c>
      <c r="D71" s="1">
        <f t="shared" si="63"/>
        <v>2000</v>
      </c>
      <c r="E71" s="3">
        <f t="shared" si="5"/>
        <v>671.1819457</v>
      </c>
      <c r="F71" s="3">
        <f t="shared" si="6"/>
        <v>1328.818054</v>
      </c>
      <c r="G71" s="3">
        <f t="shared" si="7"/>
        <v>132907.5711</v>
      </c>
    </row>
    <row r="72">
      <c r="A72" s="3">
        <f t="shared" si="3"/>
        <v>4.916666667</v>
      </c>
      <c r="B72" s="1">
        <f t="shared" si="1"/>
        <v>12</v>
      </c>
      <c r="C72" s="1">
        <f t="shared" ref="C72:D72" si="64">C71</f>
        <v>0.06</v>
      </c>
      <c r="D72" s="1">
        <f t="shared" si="64"/>
        <v>2000</v>
      </c>
      <c r="E72" s="3">
        <f t="shared" si="5"/>
        <v>664.5378554</v>
      </c>
      <c r="F72" s="3">
        <f t="shared" si="6"/>
        <v>1335.462145</v>
      </c>
      <c r="G72" s="3">
        <f t="shared" si="7"/>
        <v>131572.1089</v>
      </c>
    </row>
    <row r="73">
      <c r="A73" s="3">
        <f t="shared" si="3"/>
        <v>5</v>
      </c>
      <c r="B73" s="1">
        <f t="shared" si="1"/>
        <v>12</v>
      </c>
      <c r="C73" s="1">
        <f t="shared" ref="C73:D73" si="65">C72</f>
        <v>0.06</v>
      </c>
      <c r="D73" s="1">
        <f t="shared" si="65"/>
        <v>2000</v>
      </c>
      <c r="E73" s="3">
        <f t="shared" si="5"/>
        <v>657.8605447</v>
      </c>
      <c r="F73" s="3">
        <f t="shared" si="6"/>
        <v>1342.139455</v>
      </c>
      <c r="G73" s="3">
        <f t="shared" si="7"/>
        <v>130229.9695</v>
      </c>
    </row>
    <row r="74">
      <c r="A74" s="3">
        <f t="shared" si="3"/>
        <v>5.083333333</v>
      </c>
      <c r="B74" s="1">
        <f t="shared" si="1"/>
        <v>12</v>
      </c>
      <c r="C74" s="1">
        <f t="shared" ref="C74:D74" si="66">C73</f>
        <v>0.06</v>
      </c>
      <c r="D74" s="1">
        <f t="shared" si="66"/>
        <v>2000</v>
      </c>
      <c r="E74" s="3">
        <f t="shared" si="5"/>
        <v>651.1498475</v>
      </c>
      <c r="F74" s="3">
        <f t="shared" si="6"/>
        <v>1348.850153</v>
      </c>
      <c r="G74" s="3">
        <f t="shared" si="7"/>
        <v>128881.1193</v>
      </c>
    </row>
    <row r="75">
      <c r="A75" s="3">
        <f t="shared" si="3"/>
        <v>5.166666667</v>
      </c>
      <c r="B75" s="1">
        <f t="shared" si="1"/>
        <v>12</v>
      </c>
      <c r="C75" s="1">
        <f t="shared" ref="C75:D75" si="67">C74</f>
        <v>0.06</v>
      </c>
      <c r="D75" s="1">
        <f t="shared" si="67"/>
        <v>2000</v>
      </c>
      <c r="E75" s="3">
        <f t="shared" si="5"/>
        <v>644.4055967</v>
      </c>
      <c r="F75" s="3">
        <f t="shared" si="6"/>
        <v>1355.594403</v>
      </c>
      <c r="G75" s="3">
        <f t="shared" si="7"/>
        <v>127525.5249</v>
      </c>
    </row>
    <row r="76">
      <c r="A76" s="3">
        <f t="shared" si="3"/>
        <v>5.25</v>
      </c>
      <c r="B76" s="1">
        <f t="shared" si="1"/>
        <v>12</v>
      </c>
      <c r="C76" s="1">
        <f t="shared" ref="C76:D76" si="68">C75</f>
        <v>0.06</v>
      </c>
      <c r="D76" s="1">
        <f t="shared" si="68"/>
        <v>2000</v>
      </c>
      <c r="E76" s="3">
        <f t="shared" si="5"/>
        <v>637.6276247</v>
      </c>
      <c r="F76" s="3">
        <f t="shared" si="6"/>
        <v>1362.372375</v>
      </c>
      <c r="G76" s="3">
        <f t="shared" si="7"/>
        <v>126163.1526</v>
      </c>
    </row>
    <row r="77">
      <c r="A77" s="3">
        <f t="shared" si="3"/>
        <v>5.333333333</v>
      </c>
      <c r="B77" s="1">
        <f t="shared" si="1"/>
        <v>12</v>
      </c>
      <c r="C77" s="1">
        <f t="shared" ref="C77:D77" si="69">C76</f>
        <v>0.06</v>
      </c>
      <c r="D77" s="1">
        <f t="shared" si="69"/>
        <v>2000</v>
      </c>
      <c r="E77" s="3">
        <f t="shared" si="5"/>
        <v>630.8157628</v>
      </c>
      <c r="F77" s="3">
        <f t="shared" si="6"/>
        <v>1369.184237</v>
      </c>
      <c r="G77" s="3">
        <f t="shared" si="7"/>
        <v>124793.9683</v>
      </c>
    </row>
    <row r="78">
      <c r="A78" s="3">
        <f t="shared" si="3"/>
        <v>5.416666667</v>
      </c>
      <c r="B78" s="1">
        <f t="shared" si="1"/>
        <v>12</v>
      </c>
      <c r="C78" s="1">
        <f t="shared" ref="C78:D78" si="70">C77</f>
        <v>0.06</v>
      </c>
      <c r="D78" s="1">
        <f t="shared" si="70"/>
        <v>2000</v>
      </c>
      <c r="E78" s="3">
        <f t="shared" si="5"/>
        <v>623.9698416</v>
      </c>
      <c r="F78" s="3">
        <f t="shared" si="6"/>
        <v>1376.030158</v>
      </c>
      <c r="G78" s="3">
        <f t="shared" si="7"/>
        <v>123417.9382</v>
      </c>
    </row>
    <row r="79">
      <c r="A79" s="3">
        <f t="shared" si="3"/>
        <v>5.5</v>
      </c>
      <c r="B79" s="1">
        <f t="shared" si="1"/>
        <v>12</v>
      </c>
      <c r="C79" s="1">
        <f t="shared" ref="C79:D79" si="71">C78</f>
        <v>0.06</v>
      </c>
      <c r="D79" s="1">
        <f t="shared" si="71"/>
        <v>2000</v>
      </c>
      <c r="E79" s="3">
        <f t="shared" si="5"/>
        <v>617.0896908</v>
      </c>
      <c r="F79" s="3">
        <f t="shared" si="6"/>
        <v>1382.910309</v>
      </c>
      <c r="G79" s="3">
        <f t="shared" si="7"/>
        <v>122035.0279</v>
      </c>
    </row>
    <row r="80">
      <c r="A80" s="3">
        <f t="shared" si="3"/>
        <v>5.583333333</v>
      </c>
      <c r="B80" s="1">
        <f t="shared" si="1"/>
        <v>12</v>
      </c>
      <c r="C80" s="1">
        <f t="shared" ref="C80:D80" si="72">C79</f>
        <v>0.06</v>
      </c>
      <c r="D80" s="1">
        <f t="shared" si="72"/>
        <v>2000</v>
      </c>
      <c r="E80" s="3">
        <f t="shared" si="5"/>
        <v>610.1751393</v>
      </c>
      <c r="F80" s="3">
        <f t="shared" si="6"/>
        <v>1389.824861</v>
      </c>
      <c r="G80" s="3">
        <f t="shared" si="7"/>
        <v>120645.203</v>
      </c>
    </row>
    <row r="81">
      <c r="A81" s="3">
        <f t="shared" si="3"/>
        <v>5.666666667</v>
      </c>
      <c r="B81" s="1">
        <f t="shared" si="1"/>
        <v>12</v>
      </c>
      <c r="C81" s="1">
        <f t="shared" ref="C81:D81" si="73">C80</f>
        <v>0.06</v>
      </c>
      <c r="D81" s="1">
        <f t="shared" si="73"/>
        <v>2000</v>
      </c>
      <c r="E81" s="3">
        <f t="shared" si="5"/>
        <v>603.226015</v>
      </c>
      <c r="F81" s="3">
        <f t="shared" si="6"/>
        <v>1396.773985</v>
      </c>
      <c r="G81" s="3">
        <f t="shared" si="7"/>
        <v>119248.429</v>
      </c>
    </row>
    <row r="82">
      <c r="A82" s="3">
        <f t="shared" si="3"/>
        <v>5.75</v>
      </c>
      <c r="B82" s="1">
        <f t="shared" si="1"/>
        <v>12</v>
      </c>
      <c r="C82" s="1">
        <f t="shared" ref="C82:D82" si="74">C81</f>
        <v>0.06</v>
      </c>
      <c r="D82" s="1">
        <f t="shared" si="74"/>
        <v>2000</v>
      </c>
      <c r="E82" s="3">
        <f t="shared" si="5"/>
        <v>596.242145</v>
      </c>
      <c r="F82" s="3">
        <f t="shared" si="6"/>
        <v>1403.757855</v>
      </c>
      <c r="G82" s="3">
        <f t="shared" si="7"/>
        <v>117844.6712</v>
      </c>
    </row>
    <row r="83">
      <c r="A83" s="3">
        <f t="shared" si="3"/>
        <v>5.833333333</v>
      </c>
      <c r="B83" s="1">
        <f t="shared" si="1"/>
        <v>12</v>
      </c>
      <c r="C83" s="1">
        <f t="shared" ref="C83:D83" si="75">C82</f>
        <v>0.06</v>
      </c>
      <c r="D83" s="1">
        <f t="shared" si="75"/>
        <v>2000</v>
      </c>
      <c r="E83" s="3">
        <f t="shared" si="5"/>
        <v>589.2233558</v>
      </c>
      <c r="F83" s="3">
        <f t="shared" si="6"/>
        <v>1410.776644</v>
      </c>
      <c r="G83" s="3">
        <f t="shared" si="7"/>
        <v>116433.8945</v>
      </c>
    </row>
    <row r="84">
      <c r="A84" s="3">
        <f t="shared" si="3"/>
        <v>5.916666667</v>
      </c>
      <c r="B84" s="1">
        <f t="shared" si="1"/>
        <v>12</v>
      </c>
      <c r="C84" s="1">
        <f t="shared" ref="C84:D84" si="76">C83</f>
        <v>0.06</v>
      </c>
      <c r="D84" s="1">
        <f t="shared" si="76"/>
        <v>2000</v>
      </c>
      <c r="E84" s="3">
        <f t="shared" si="5"/>
        <v>582.1694725</v>
      </c>
      <c r="F84" s="3">
        <f t="shared" si="6"/>
        <v>1417.830527</v>
      </c>
      <c r="G84" s="3">
        <f t="shared" si="7"/>
        <v>115016.064</v>
      </c>
    </row>
    <row r="85">
      <c r="A85" s="3">
        <f t="shared" si="3"/>
        <v>6</v>
      </c>
      <c r="B85" s="1">
        <f t="shared" si="1"/>
        <v>12</v>
      </c>
      <c r="C85" s="1">
        <f t="shared" ref="C85:D85" si="77">C84</f>
        <v>0.06</v>
      </c>
      <c r="D85" s="1">
        <f t="shared" si="77"/>
        <v>2000</v>
      </c>
      <c r="E85" s="3">
        <f t="shared" si="5"/>
        <v>575.0803199</v>
      </c>
      <c r="F85" s="3">
        <f t="shared" si="6"/>
        <v>1424.91968</v>
      </c>
      <c r="G85" s="3">
        <f t="shared" si="7"/>
        <v>113591.1443</v>
      </c>
    </row>
    <row r="86">
      <c r="A86" s="3">
        <f t="shared" si="3"/>
        <v>6.083333333</v>
      </c>
      <c r="B86" s="1">
        <f t="shared" si="1"/>
        <v>12</v>
      </c>
      <c r="C86" s="1">
        <f t="shared" ref="C86:D86" si="78">C85</f>
        <v>0.06</v>
      </c>
      <c r="D86" s="1">
        <f t="shared" si="78"/>
        <v>2000</v>
      </c>
      <c r="E86" s="3">
        <f t="shared" si="5"/>
        <v>567.9557215</v>
      </c>
      <c r="F86" s="3">
        <f t="shared" si="6"/>
        <v>1432.044278</v>
      </c>
      <c r="G86" s="3">
        <f t="shared" si="7"/>
        <v>112159.1</v>
      </c>
    </row>
    <row r="87">
      <c r="A87" s="3">
        <f t="shared" si="3"/>
        <v>6.166666667</v>
      </c>
      <c r="B87" s="1">
        <f t="shared" si="1"/>
        <v>12</v>
      </c>
      <c r="C87" s="1">
        <f t="shared" ref="C87:D87" si="79">C86</f>
        <v>0.06</v>
      </c>
      <c r="D87" s="1">
        <f t="shared" si="79"/>
        <v>2000</v>
      </c>
      <c r="E87" s="3">
        <f t="shared" si="5"/>
        <v>560.7955001</v>
      </c>
      <c r="F87" s="3">
        <f t="shared" si="6"/>
        <v>1439.2045</v>
      </c>
      <c r="G87" s="3">
        <f t="shared" si="7"/>
        <v>110719.8955</v>
      </c>
    </row>
    <row r="88">
      <c r="A88" s="3">
        <f t="shared" si="3"/>
        <v>6.25</v>
      </c>
      <c r="B88" s="1">
        <f t="shared" si="1"/>
        <v>12</v>
      </c>
      <c r="C88" s="1">
        <f t="shared" ref="C88:D88" si="80">C87</f>
        <v>0.06</v>
      </c>
      <c r="D88" s="1">
        <f t="shared" si="80"/>
        <v>2000</v>
      </c>
      <c r="E88" s="3">
        <f t="shared" si="5"/>
        <v>553.5994776</v>
      </c>
      <c r="F88" s="3">
        <f t="shared" si="6"/>
        <v>1446.400522</v>
      </c>
      <c r="G88" s="3">
        <f t="shared" si="7"/>
        <v>109273.495</v>
      </c>
    </row>
    <row r="89">
      <c r="A89" s="3">
        <f t="shared" si="3"/>
        <v>6.333333333</v>
      </c>
      <c r="B89" s="1">
        <f t="shared" si="1"/>
        <v>12</v>
      </c>
      <c r="C89" s="1">
        <f t="shared" ref="C89:D89" si="81">C88</f>
        <v>0.06</v>
      </c>
      <c r="D89" s="1">
        <f t="shared" si="81"/>
        <v>2000</v>
      </c>
      <c r="E89" s="3">
        <f t="shared" si="5"/>
        <v>546.367475</v>
      </c>
      <c r="F89" s="3">
        <f t="shared" si="6"/>
        <v>1453.632525</v>
      </c>
      <c r="G89" s="3">
        <f t="shared" si="7"/>
        <v>107819.8625</v>
      </c>
    </row>
    <row r="90">
      <c r="A90" s="3">
        <f t="shared" si="3"/>
        <v>6.416666667</v>
      </c>
      <c r="B90" s="1">
        <f t="shared" si="1"/>
        <v>12</v>
      </c>
      <c r="C90" s="1">
        <f t="shared" ref="C90:D90" si="82">C89</f>
        <v>0.06</v>
      </c>
      <c r="D90" s="1">
        <f t="shared" si="82"/>
        <v>2000</v>
      </c>
      <c r="E90" s="3">
        <f t="shared" si="5"/>
        <v>539.0993124</v>
      </c>
      <c r="F90" s="3">
        <f t="shared" si="6"/>
        <v>1460.900688</v>
      </c>
      <c r="G90" s="3">
        <f t="shared" si="7"/>
        <v>106358.9618</v>
      </c>
    </row>
    <row r="91">
      <c r="A91" s="3">
        <f t="shared" si="3"/>
        <v>6.5</v>
      </c>
      <c r="B91" s="1">
        <f t="shared" si="1"/>
        <v>12</v>
      </c>
      <c r="C91" s="1">
        <f t="shared" ref="C91:D91" si="83">C90</f>
        <v>0.06</v>
      </c>
      <c r="D91" s="1">
        <f t="shared" si="83"/>
        <v>2000</v>
      </c>
      <c r="E91" s="3">
        <f t="shared" si="5"/>
        <v>531.7948089</v>
      </c>
      <c r="F91" s="3">
        <f t="shared" si="6"/>
        <v>1468.205191</v>
      </c>
      <c r="G91" s="3">
        <f t="shared" si="7"/>
        <v>104890.7566</v>
      </c>
    </row>
    <row r="92">
      <c r="A92" s="3">
        <f t="shared" si="3"/>
        <v>6.583333333</v>
      </c>
      <c r="B92" s="1">
        <f t="shared" si="1"/>
        <v>12</v>
      </c>
      <c r="C92" s="1">
        <f t="shared" ref="C92:D92" si="84">C91</f>
        <v>0.06</v>
      </c>
      <c r="D92" s="1">
        <f t="shared" si="84"/>
        <v>2000</v>
      </c>
      <c r="E92" s="3">
        <f t="shared" si="5"/>
        <v>524.453783</v>
      </c>
      <c r="F92" s="3">
        <f t="shared" si="6"/>
        <v>1475.546217</v>
      </c>
      <c r="G92" s="3">
        <f t="shared" si="7"/>
        <v>103415.2104</v>
      </c>
    </row>
    <row r="93">
      <c r="A93" s="3">
        <f t="shared" si="3"/>
        <v>6.666666667</v>
      </c>
      <c r="B93" s="1">
        <f t="shared" si="1"/>
        <v>12</v>
      </c>
      <c r="C93" s="1">
        <f t="shared" ref="C93:D93" si="85">C92</f>
        <v>0.06</v>
      </c>
      <c r="D93" s="1">
        <f t="shared" si="85"/>
        <v>2000</v>
      </c>
      <c r="E93" s="3">
        <f t="shared" si="5"/>
        <v>517.0760519</v>
      </c>
      <c r="F93" s="3">
        <f t="shared" si="6"/>
        <v>1482.923948</v>
      </c>
      <c r="G93" s="3">
        <f t="shared" si="7"/>
        <v>101932.2864</v>
      </c>
    </row>
    <row r="94">
      <c r="A94" s="3">
        <f t="shared" si="3"/>
        <v>6.75</v>
      </c>
      <c r="B94" s="1">
        <f t="shared" si="1"/>
        <v>12</v>
      </c>
      <c r="C94" s="1">
        <f t="shared" ref="C94:D94" si="86">C93</f>
        <v>0.06</v>
      </c>
      <c r="D94" s="1">
        <f t="shared" si="86"/>
        <v>2000</v>
      </c>
      <c r="E94" s="3">
        <f t="shared" si="5"/>
        <v>509.6614322</v>
      </c>
      <c r="F94" s="3">
        <f t="shared" si="6"/>
        <v>1490.338568</v>
      </c>
      <c r="G94" s="3">
        <f t="shared" si="7"/>
        <v>100441.9479</v>
      </c>
    </row>
    <row r="95">
      <c r="A95" s="3">
        <f t="shared" si="3"/>
        <v>6.833333333</v>
      </c>
      <c r="B95" s="1">
        <f t="shared" si="1"/>
        <v>12</v>
      </c>
      <c r="C95" s="1">
        <f t="shared" ref="C95:D95" si="87">C94</f>
        <v>0.06</v>
      </c>
      <c r="D95" s="1">
        <f t="shared" si="87"/>
        <v>2000</v>
      </c>
      <c r="E95" s="3">
        <f t="shared" si="5"/>
        <v>502.2097393</v>
      </c>
      <c r="F95" s="3">
        <f t="shared" si="6"/>
        <v>1497.790261</v>
      </c>
      <c r="G95" s="3">
        <f t="shared" si="7"/>
        <v>98944.1576</v>
      </c>
    </row>
    <row r="96">
      <c r="A96" s="3">
        <f t="shared" si="3"/>
        <v>6.916666667</v>
      </c>
      <c r="B96" s="1">
        <f t="shared" si="1"/>
        <v>12</v>
      </c>
      <c r="C96" s="1">
        <f t="shared" ref="C96:D96" si="88">C95</f>
        <v>0.06</v>
      </c>
      <c r="D96" s="1">
        <f t="shared" si="88"/>
        <v>2000</v>
      </c>
      <c r="E96" s="3">
        <f t="shared" si="5"/>
        <v>494.720788</v>
      </c>
      <c r="F96" s="3">
        <f t="shared" si="6"/>
        <v>1505.279212</v>
      </c>
      <c r="G96" s="3">
        <f t="shared" si="7"/>
        <v>97438.87839</v>
      </c>
    </row>
    <row r="97">
      <c r="A97" s="3">
        <f t="shared" si="3"/>
        <v>7</v>
      </c>
      <c r="B97" s="1">
        <f t="shared" si="1"/>
        <v>12</v>
      </c>
      <c r="C97" s="1">
        <f t="shared" ref="C97:D97" si="89">C96</f>
        <v>0.06</v>
      </c>
      <c r="D97" s="1">
        <f t="shared" si="89"/>
        <v>2000</v>
      </c>
      <c r="E97" s="3">
        <f t="shared" si="5"/>
        <v>487.194392</v>
      </c>
      <c r="F97" s="3">
        <f t="shared" si="6"/>
        <v>1512.805608</v>
      </c>
      <c r="G97" s="3">
        <f t="shared" si="7"/>
        <v>95926.07278</v>
      </c>
    </row>
    <row r="98">
      <c r="A98" s="3">
        <f t="shared" si="3"/>
        <v>7.083333333</v>
      </c>
      <c r="B98" s="1">
        <f t="shared" si="1"/>
        <v>12</v>
      </c>
      <c r="C98" s="1">
        <f t="shared" ref="C98:D98" si="90">C97</f>
        <v>0.06</v>
      </c>
      <c r="D98" s="1">
        <f t="shared" si="90"/>
        <v>2000</v>
      </c>
      <c r="E98" s="3">
        <f t="shared" si="5"/>
        <v>479.6303639</v>
      </c>
      <c r="F98" s="3">
        <f t="shared" si="6"/>
        <v>1520.369636</v>
      </c>
      <c r="G98" s="3">
        <f t="shared" si="7"/>
        <v>94405.70315</v>
      </c>
    </row>
    <row r="99">
      <c r="A99" s="3">
        <f t="shared" si="3"/>
        <v>7.166666667</v>
      </c>
      <c r="B99" s="1">
        <f t="shared" si="1"/>
        <v>12</v>
      </c>
      <c r="C99" s="1">
        <f t="shared" ref="C99:D99" si="91">C98</f>
        <v>0.06</v>
      </c>
      <c r="D99" s="1">
        <f t="shared" si="91"/>
        <v>2000</v>
      </c>
      <c r="E99" s="3">
        <f t="shared" si="5"/>
        <v>472.0285157</v>
      </c>
      <c r="F99" s="3">
        <f t="shared" si="6"/>
        <v>1527.971484</v>
      </c>
      <c r="G99" s="3">
        <f t="shared" si="7"/>
        <v>92877.73166</v>
      </c>
    </row>
    <row r="100">
      <c r="A100" s="3">
        <f t="shared" si="3"/>
        <v>7.25</v>
      </c>
      <c r="B100" s="1">
        <f t="shared" si="1"/>
        <v>12</v>
      </c>
      <c r="C100" s="1">
        <f t="shared" ref="C100:D100" si="92">C99</f>
        <v>0.06</v>
      </c>
      <c r="D100" s="1">
        <f t="shared" si="92"/>
        <v>2000</v>
      </c>
      <c r="E100" s="3">
        <f t="shared" si="5"/>
        <v>464.3886583</v>
      </c>
      <c r="F100" s="3">
        <f t="shared" si="6"/>
        <v>1535.611342</v>
      </c>
      <c r="G100" s="3">
        <f t="shared" si="7"/>
        <v>91342.12032</v>
      </c>
    </row>
    <row r="101">
      <c r="A101" s="3">
        <f t="shared" si="3"/>
        <v>7.333333333</v>
      </c>
      <c r="B101" s="1">
        <f t="shared" si="1"/>
        <v>12</v>
      </c>
      <c r="C101" s="1">
        <f t="shared" ref="C101:D101" si="93">C100</f>
        <v>0.06</v>
      </c>
      <c r="D101" s="1">
        <f t="shared" si="93"/>
        <v>2000</v>
      </c>
      <c r="E101" s="3">
        <f t="shared" si="5"/>
        <v>456.7106016</v>
      </c>
      <c r="F101" s="3">
        <f t="shared" si="6"/>
        <v>1543.289398</v>
      </c>
      <c r="G101" s="3">
        <f t="shared" si="7"/>
        <v>89798.83092</v>
      </c>
    </row>
    <row r="102">
      <c r="A102" s="3">
        <f t="shared" si="3"/>
        <v>7.416666667</v>
      </c>
      <c r="B102" s="1">
        <f t="shared" si="1"/>
        <v>12</v>
      </c>
      <c r="C102" s="1">
        <f t="shared" ref="C102:D102" si="94">C101</f>
        <v>0.06</v>
      </c>
      <c r="D102" s="1">
        <f t="shared" si="94"/>
        <v>2000</v>
      </c>
      <c r="E102" s="3">
        <f t="shared" si="5"/>
        <v>448.9941546</v>
      </c>
      <c r="F102" s="3">
        <f t="shared" si="6"/>
        <v>1551.005845</v>
      </c>
      <c r="G102" s="3">
        <f t="shared" si="7"/>
        <v>88247.82508</v>
      </c>
    </row>
    <row r="103">
      <c r="A103" s="3">
        <f t="shared" si="3"/>
        <v>7.5</v>
      </c>
      <c r="B103" s="1">
        <f t="shared" si="1"/>
        <v>12</v>
      </c>
      <c r="C103" s="1">
        <f t="shared" ref="C103:D103" si="95">C102</f>
        <v>0.06</v>
      </c>
      <c r="D103" s="1">
        <f t="shared" si="95"/>
        <v>2000</v>
      </c>
      <c r="E103" s="3">
        <f t="shared" si="5"/>
        <v>441.2391254</v>
      </c>
      <c r="F103" s="3">
        <f t="shared" si="6"/>
        <v>1558.760875</v>
      </c>
      <c r="G103" s="3">
        <f t="shared" si="7"/>
        <v>86689.0642</v>
      </c>
    </row>
    <row r="104">
      <c r="A104" s="3">
        <f t="shared" si="3"/>
        <v>7.583333333</v>
      </c>
      <c r="B104" s="1">
        <f t="shared" si="1"/>
        <v>12</v>
      </c>
      <c r="C104" s="1">
        <f t="shared" ref="C104:D104" si="96">C103</f>
        <v>0.06</v>
      </c>
      <c r="D104" s="1">
        <f t="shared" si="96"/>
        <v>2000</v>
      </c>
      <c r="E104" s="3">
        <f t="shared" si="5"/>
        <v>433.445321</v>
      </c>
      <c r="F104" s="3">
        <f t="shared" si="6"/>
        <v>1566.554679</v>
      </c>
      <c r="G104" s="3">
        <f t="shared" si="7"/>
        <v>85122.50952</v>
      </c>
    </row>
    <row r="105">
      <c r="A105" s="3">
        <f t="shared" si="3"/>
        <v>7.666666667</v>
      </c>
      <c r="B105" s="1">
        <f t="shared" si="1"/>
        <v>12</v>
      </c>
      <c r="C105" s="1">
        <f t="shared" ref="C105:D105" si="97">C104</f>
        <v>0.06</v>
      </c>
      <c r="D105" s="1">
        <f t="shared" si="97"/>
        <v>2000</v>
      </c>
      <c r="E105" s="3">
        <f t="shared" si="5"/>
        <v>425.6125476</v>
      </c>
      <c r="F105" s="3">
        <f t="shared" si="6"/>
        <v>1574.387452</v>
      </c>
      <c r="G105" s="3">
        <f t="shared" si="7"/>
        <v>83548.12207</v>
      </c>
    </row>
    <row r="106">
      <c r="A106" s="3">
        <f t="shared" si="3"/>
        <v>7.75</v>
      </c>
      <c r="B106" s="1">
        <f t="shared" si="1"/>
        <v>12</v>
      </c>
      <c r="C106" s="1">
        <f t="shared" ref="C106:D106" si="98">C105</f>
        <v>0.06</v>
      </c>
      <c r="D106" s="1">
        <f t="shared" si="98"/>
        <v>2000</v>
      </c>
      <c r="E106" s="3">
        <f t="shared" si="5"/>
        <v>417.7406104</v>
      </c>
      <c r="F106" s="3">
        <f t="shared" si="6"/>
        <v>1582.25939</v>
      </c>
      <c r="G106" s="3">
        <f t="shared" si="7"/>
        <v>81965.86268</v>
      </c>
    </row>
    <row r="107">
      <c r="A107" s="3">
        <f t="shared" si="3"/>
        <v>7.833333333</v>
      </c>
      <c r="B107" s="1">
        <f t="shared" si="1"/>
        <v>12</v>
      </c>
      <c r="C107" s="1">
        <f t="shared" ref="C107:D107" si="99">C106</f>
        <v>0.06</v>
      </c>
      <c r="D107" s="1">
        <f t="shared" si="99"/>
        <v>2000</v>
      </c>
      <c r="E107" s="3">
        <f t="shared" si="5"/>
        <v>409.8293134</v>
      </c>
      <c r="F107" s="3">
        <f t="shared" si="6"/>
        <v>1590.170687</v>
      </c>
      <c r="G107" s="3">
        <f t="shared" si="7"/>
        <v>80375.692</v>
      </c>
    </row>
    <row r="108">
      <c r="A108" s="3">
        <f t="shared" si="3"/>
        <v>7.916666667</v>
      </c>
      <c r="B108" s="1">
        <f t="shared" si="1"/>
        <v>12</v>
      </c>
      <c r="C108" s="1">
        <f t="shared" ref="C108:D108" si="100">C107</f>
        <v>0.06</v>
      </c>
      <c r="D108" s="1">
        <f t="shared" si="100"/>
        <v>2000</v>
      </c>
      <c r="E108" s="3">
        <f t="shared" si="5"/>
        <v>401.87846</v>
      </c>
      <c r="F108" s="3">
        <f t="shared" si="6"/>
        <v>1598.12154</v>
      </c>
      <c r="G108" s="3">
        <f t="shared" si="7"/>
        <v>78777.57046</v>
      </c>
    </row>
    <row r="109">
      <c r="A109" s="3">
        <f t="shared" si="3"/>
        <v>8</v>
      </c>
      <c r="B109" s="1">
        <f t="shared" si="1"/>
        <v>12</v>
      </c>
      <c r="C109" s="1">
        <f t="shared" ref="C109:D109" si="101">C108</f>
        <v>0.06</v>
      </c>
      <c r="D109" s="1">
        <f t="shared" si="101"/>
        <v>2000</v>
      </c>
      <c r="E109" s="3">
        <f t="shared" si="5"/>
        <v>393.8878523</v>
      </c>
      <c r="F109" s="3">
        <f t="shared" si="6"/>
        <v>1606.112148</v>
      </c>
      <c r="G109" s="3">
        <f t="shared" si="7"/>
        <v>77171.45831</v>
      </c>
    </row>
    <row r="110">
      <c r="A110" s="3">
        <f t="shared" si="3"/>
        <v>8.083333333</v>
      </c>
      <c r="B110" s="1">
        <f t="shared" si="1"/>
        <v>12</v>
      </c>
      <c r="C110" s="1">
        <f t="shared" ref="C110:D110" si="102">C109</f>
        <v>0.06</v>
      </c>
      <c r="D110" s="1">
        <f t="shared" si="102"/>
        <v>2000</v>
      </c>
      <c r="E110" s="3">
        <f t="shared" si="5"/>
        <v>385.8572915</v>
      </c>
      <c r="F110" s="3">
        <f t="shared" si="6"/>
        <v>1614.142708</v>
      </c>
      <c r="G110" s="3">
        <f t="shared" si="7"/>
        <v>75557.3156</v>
      </c>
    </row>
    <row r="111">
      <c r="A111" s="3">
        <f t="shared" si="3"/>
        <v>8.166666667</v>
      </c>
      <c r="B111" s="1">
        <f t="shared" si="1"/>
        <v>12</v>
      </c>
      <c r="C111" s="1">
        <f t="shared" ref="C111:D111" si="103">C110</f>
        <v>0.06</v>
      </c>
      <c r="D111" s="1">
        <f t="shared" si="103"/>
        <v>2000</v>
      </c>
      <c r="E111" s="3">
        <f t="shared" si="5"/>
        <v>377.786578</v>
      </c>
      <c r="F111" s="3">
        <f t="shared" si="6"/>
        <v>1622.213422</v>
      </c>
      <c r="G111" s="3">
        <f t="shared" si="7"/>
        <v>73935.10218</v>
      </c>
    </row>
    <row r="112">
      <c r="A112" s="3">
        <f t="shared" si="3"/>
        <v>8.25</v>
      </c>
      <c r="B112" s="1">
        <f t="shared" si="1"/>
        <v>12</v>
      </c>
      <c r="C112" s="1">
        <f t="shared" ref="C112:D112" si="104">C111</f>
        <v>0.06</v>
      </c>
      <c r="D112" s="1">
        <f t="shared" si="104"/>
        <v>2000</v>
      </c>
      <c r="E112" s="3">
        <f t="shared" si="5"/>
        <v>369.6755109</v>
      </c>
      <c r="F112" s="3">
        <f t="shared" si="6"/>
        <v>1630.324489</v>
      </c>
      <c r="G112" s="3">
        <f t="shared" si="7"/>
        <v>72304.77769</v>
      </c>
    </row>
    <row r="113">
      <c r="A113" s="3">
        <f t="shared" si="3"/>
        <v>8.333333333</v>
      </c>
      <c r="B113" s="1">
        <f t="shared" si="1"/>
        <v>12</v>
      </c>
      <c r="C113" s="1">
        <f t="shared" ref="C113:D113" si="105">C112</f>
        <v>0.06</v>
      </c>
      <c r="D113" s="1">
        <f t="shared" si="105"/>
        <v>2000</v>
      </c>
      <c r="E113" s="3">
        <f t="shared" si="5"/>
        <v>361.5238884</v>
      </c>
      <c r="F113" s="3">
        <f t="shared" si="6"/>
        <v>1638.476112</v>
      </c>
      <c r="G113" s="3">
        <f t="shared" si="7"/>
        <v>70666.30158</v>
      </c>
    </row>
    <row r="114">
      <c r="A114" s="3">
        <f t="shared" si="3"/>
        <v>8.416666667</v>
      </c>
      <c r="B114" s="1">
        <f t="shared" si="1"/>
        <v>12</v>
      </c>
      <c r="C114" s="1">
        <f t="shared" ref="C114:D114" si="106">C113</f>
        <v>0.06</v>
      </c>
      <c r="D114" s="1">
        <f t="shared" si="106"/>
        <v>2000</v>
      </c>
      <c r="E114" s="3">
        <f t="shared" si="5"/>
        <v>353.3315079</v>
      </c>
      <c r="F114" s="3">
        <f t="shared" si="6"/>
        <v>1646.668492</v>
      </c>
      <c r="G114" s="3">
        <f t="shared" si="7"/>
        <v>69019.63308</v>
      </c>
    </row>
    <row r="115">
      <c r="A115" s="3">
        <f t="shared" si="3"/>
        <v>8.5</v>
      </c>
      <c r="B115" s="1">
        <f t="shared" si="1"/>
        <v>12</v>
      </c>
      <c r="C115" s="1">
        <f t="shared" ref="C115:D115" si="107">C114</f>
        <v>0.06</v>
      </c>
      <c r="D115" s="1">
        <f t="shared" si="107"/>
        <v>2000</v>
      </c>
      <c r="E115" s="3">
        <f t="shared" si="5"/>
        <v>345.0981654</v>
      </c>
      <c r="F115" s="3">
        <f t="shared" si="6"/>
        <v>1654.901835</v>
      </c>
      <c r="G115" s="3">
        <f t="shared" si="7"/>
        <v>67364.73125</v>
      </c>
    </row>
    <row r="116">
      <c r="A116" s="3">
        <f t="shared" si="3"/>
        <v>8.583333333</v>
      </c>
      <c r="B116" s="1">
        <f t="shared" si="1"/>
        <v>12</v>
      </c>
      <c r="C116" s="1">
        <f t="shared" ref="C116:D116" si="108">C115</f>
        <v>0.06</v>
      </c>
      <c r="D116" s="1">
        <f t="shared" si="108"/>
        <v>2000</v>
      </c>
      <c r="E116" s="3">
        <f t="shared" si="5"/>
        <v>336.8236562</v>
      </c>
      <c r="F116" s="3">
        <f t="shared" si="6"/>
        <v>1663.176344</v>
      </c>
      <c r="G116" s="3">
        <f t="shared" si="7"/>
        <v>65701.55491</v>
      </c>
    </row>
    <row r="117">
      <c r="A117" s="3">
        <f t="shared" si="3"/>
        <v>8.666666667</v>
      </c>
      <c r="B117" s="1">
        <f t="shared" si="1"/>
        <v>12</v>
      </c>
      <c r="C117" s="1">
        <f t="shared" ref="C117:D117" si="109">C116</f>
        <v>0.06</v>
      </c>
      <c r="D117" s="1">
        <f t="shared" si="109"/>
        <v>2000</v>
      </c>
      <c r="E117" s="3">
        <f t="shared" si="5"/>
        <v>328.5077745</v>
      </c>
      <c r="F117" s="3">
        <f t="shared" si="6"/>
        <v>1671.492225</v>
      </c>
      <c r="G117" s="3">
        <f t="shared" si="7"/>
        <v>64030.06268</v>
      </c>
    </row>
    <row r="118">
      <c r="A118" s="3">
        <f t="shared" si="3"/>
        <v>8.75</v>
      </c>
      <c r="B118" s="1">
        <f t="shared" si="1"/>
        <v>12</v>
      </c>
      <c r="C118" s="1">
        <f t="shared" ref="C118:D118" si="110">C117</f>
        <v>0.06</v>
      </c>
      <c r="D118" s="1">
        <f t="shared" si="110"/>
        <v>2000</v>
      </c>
      <c r="E118" s="3">
        <f t="shared" si="5"/>
        <v>320.1503134</v>
      </c>
      <c r="F118" s="3">
        <f t="shared" si="6"/>
        <v>1679.849687</v>
      </c>
      <c r="G118" s="3">
        <f t="shared" si="7"/>
        <v>62350.21299</v>
      </c>
    </row>
    <row r="119">
      <c r="A119" s="3">
        <f t="shared" si="3"/>
        <v>8.833333333</v>
      </c>
      <c r="B119" s="1">
        <f t="shared" si="1"/>
        <v>12</v>
      </c>
      <c r="C119" s="1">
        <f t="shared" ref="C119:D119" si="111">C118</f>
        <v>0.06</v>
      </c>
      <c r="D119" s="1">
        <f t="shared" si="111"/>
        <v>2000</v>
      </c>
      <c r="E119" s="3">
        <f t="shared" si="5"/>
        <v>311.751065</v>
      </c>
      <c r="F119" s="3">
        <f t="shared" si="6"/>
        <v>1688.248935</v>
      </c>
      <c r="G119" s="3">
        <f t="shared" si="7"/>
        <v>60661.96406</v>
      </c>
    </row>
    <row r="120">
      <c r="A120" s="3">
        <f t="shared" si="3"/>
        <v>8.916666667</v>
      </c>
      <c r="B120" s="1">
        <f t="shared" si="1"/>
        <v>12</v>
      </c>
      <c r="C120" s="1">
        <f t="shared" ref="C120:D120" si="112">C119</f>
        <v>0.06</v>
      </c>
      <c r="D120" s="1">
        <f t="shared" si="112"/>
        <v>2000</v>
      </c>
      <c r="E120" s="3">
        <f t="shared" si="5"/>
        <v>303.3098203</v>
      </c>
      <c r="F120" s="3">
        <f t="shared" si="6"/>
        <v>1696.69018</v>
      </c>
      <c r="G120" s="3">
        <f t="shared" si="7"/>
        <v>58965.27388</v>
      </c>
    </row>
    <row r="121">
      <c r="A121" s="3">
        <f t="shared" si="3"/>
        <v>9</v>
      </c>
      <c r="B121" s="1">
        <f t="shared" si="1"/>
        <v>12</v>
      </c>
      <c r="C121" s="1">
        <f t="shared" ref="C121:D121" si="113">C120</f>
        <v>0.06</v>
      </c>
      <c r="D121" s="1">
        <f t="shared" si="113"/>
        <v>2000</v>
      </c>
      <c r="E121" s="3">
        <f t="shared" si="5"/>
        <v>294.8263694</v>
      </c>
      <c r="F121" s="3">
        <f t="shared" si="6"/>
        <v>1705.173631</v>
      </c>
      <c r="G121" s="3">
        <f t="shared" si="7"/>
        <v>57260.10025</v>
      </c>
    </row>
    <row r="122">
      <c r="A122" s="3">
        <f t="shared" si="3"/>
        <v>9.083333333</v>
      </c>
      <c r="B122" s="1">
        <f t="shared" si="1"/>
        <v>12</v>
      </c>
      <c r="C122" s="1">
        <f t="shared" ref="C122:D122" si="114">C121</f>
        <v>0.06</v>
      </c>
      <c r="D122" s="1">
        <f t="shared" si="114"/>
        <v>2000</v>
      </c>
      <c r="E122" s="3">
        <f t="shared" si="5"/>
        <v>286.3005012</v>
      </c>
      <c r="F122" s="3">
        <f t="shared" si="6"/>
        <v>1713.699499</v>
      </c>
      <c r="G122" s="3">
        <f t="shared" si="7"/>
        <v>55546.40075</v>
      </c>
    </row>
    <row r="123">
      <c r="A123" s="3">
        <f t="shared" si="3"/>
        <v>9.166666667</v>
      </c>
      <c r="B123" s="1">
        <f t="shared" si="1"/>
        <v>12</v>
      </c>
      <c r="C123" s="1">
        <f t="shared" ref="C123:D123" si="115">C122</f>
        <v>0.06</v>
      </c>
      <c r="D123" s="1">
        <f t="shared" si="115"/>
        <v>2000</v>
      </c>
      <c r="E123" s="3">
        <f t="shared" si="5"/>
        <v>277.7320038</v>
      </c>
      <c r="F123" s="3">
        <f t="shared" si="6"/>
        <v>1722.267996</v>
      </c>
      <c r="G123" s="3">
        <f t="shared" si="7"/>
        <v>53824.13275</v>
      </c>
    </row>
    <row r="124">
      <c r="A124" s="3">
        <f t="shared" si="3"/>
        <v>9.25</v>
      </c>
      <c r="B124" s="1">
        <f t="shared" si="1"/>
        <v>12</v>
      </c>
      <c r="C124" s="1">
        <f t="shared" ref="C124:D124" si="116">C123</f>
        <v>0.06</v>
      </c>
      <c r="D124" s="1">
        <f t="shared" si="116"/>
        <v>2000</v>
      </c>
      <c r="E124" s="3">
        <f t="shared" si="5"/>
        <v>269.1206638</v>
      </c>
      <c r="F124" s="3">
        <f t="shared" si="6"/>
        <v>1730.879336</v>
      </c>
      <c r="G124" s="3">
        <f t="shared" si="7"/>
        <v>52093.25342</v>
      </c>
    </row>
    <row r="125">
      <c r="A125" s="3">
        <f t="shared" si="3"/>
        <v>9.333333333</v>
      </c>
      <c r="B125" s="1">
        <f t="shared" si="1"/>
        <v>12</v>
      </c>
      <c r="C125" s="1">
        <f t="shared" ref="C125:D125" si="117">C124</f>
        <v>0.06</v>
      </c>
      <c r="D125" s="1">
        <f t="shared" si="117"/>
        <v>2000</v>
      </c>
      <c r="E125" s="3">
        <f t="shared" si="5"/>
        <v>260.4662671</v>
      </c>
      <c r="F125" s="3">
        <f t="shared" si="6"/>
        <v>1739.533733</v>
      </c>
      <c r="G125" s="3">
        <f t="shared" si="7"/>
        <v>50353.71968</v>
      </c>
    </row>
    <row r="126">
      <c r="A126" s="3">
        <f t="shared" si="3"/>
        <v>9.416666667</v>
      </c>
      <c r="B126" s="1">
        <f t="shared" si="1"/>
        <v>12</v>
      </c>
      <c r="C126" s="1">
        <f t="shared" ref="C126:D126" si="118">C125</f>
        <v>0.06</v>
      </c>
      <c r="D126" s="1">
        <f t="shared" si="118"/>
        <v>2000</v>
      </c>
      <c r="E126" s="3">
        <f t="shared" si="5"/>
        <v>251.7685984</v>
      </c>
      <c r="F126" s="3">
        <f t="shared" si="6"/>
        <v>1748.231402</v>
      </c>
      <c r="G126" s="3">
        <f t="shared" si="7"/>
        <v>48605.48828</v>
      </c>
    </row>
    <row r="127">
      <c r="A127" s="3">
        <f t="shared" si="3"/>
        <v>9.5</v>
      </c>
      <c r="B127" s="1">
        <f t="shared" si="1"/>
        <v>12</v>
      </c>
      <c r="C127" s="1">
        <f t="shared" ref="C127:D127" si="119">C126</f>
        <v>0.06</v>
      </c>
      <c r="D127" s="1">
        <f t="shared" si="119"/>
        <v>2000</v>
      </c>
      <c r="E127" s="3">
        <f t="shared" si="5"/>
        <v>243.0274414</v>
      </c>
      <c r="F127" s="3">
        <f t="shared" si="6"/>
        <v>1756.972559</v>
      </c>
      <c r="G127" s="3">
        <f t="shared" si="7"/>
        <v>46848.51572</v>
      </c>
    </row>
    <row r="128">
      <c r="A128" s="3">
        <f t="shared" si="3"/>
        <v>9.583333333</v>
      </c>
      <c r="B128" s="1">
        <f t="shared" si="1"/>
        <v>12</v>
      </c>
      <c r="C128" s="1">
        <f t="shared" ref="C128:D128" si="120">C127</f>
        <v>0.06</v>
      </c>
      <c r="D128" s="1">
        <f t="shared" si="120"/>
        <v>2000</v>
      </c>
      <c r="E128" s="3">
        <f t="shared" si="5"/>
        <v>234.2425786</v>
      </c>
      <c r="F128" s="3">
        <f t="shared" si="6"/>
        <v>1765.757421</v>
      </c>
      <c r="G128" s="3">
        <f t="shared" si="7"/>
        <v>45082.7583</v>
      </c>
    </row>
    <row r="129">
      <c r="A129" s="3">
        <f t="shared" si="3"/>
        <v>9.666666667</v>
      </c>
      <c r="B129" s="1">
        <f t="shared" si="1"/>
        <v>12</v>
      </c>
      <c r="C129" s="1">
        <f t="shared" ref="C129:D129" si="121">C128</f>
        <v>0.06</v>
      </c>
      <c r="D129" s="1">
        <f t="shared" si="121"/>
        <v>2000</v>
      </c>
      <c r="E129" s="3">
        <f t="shared" si="5"/>
        <v>225.4137915</v>
      </c>
      <c r="F129" s="3">
        <f t="shared" si="6"/>
        <v>1774.586208</v>
      </c>
      <c r="G129" s="3">
        <f t="shared" si="7"/>
        <v>43308.17209</v>
      </c>
    </row>
    <row r="130">
      <c r="A130" s="3">
        <f t="shared" si="3"/>
        <v>9.75</v>
      </c>
      <c r="B130" s="1">
        <f t="shared" si="1"/>
        <v>12</v>
      </c>
      <c r="C130" s="1">
        <f t="shared" ref="C130:D130" si="122">C129</f>
        <v>0.06</v>
      </c>
      <c r="D130" s="1">
        <f t="shared" si="122"/>
        <v>2000</v>
      </c>
      <c r="E130" s="3">
        <f t="shared" si="5"/>
        <v>216.5408605</v>
      </c>
      <c r="F130" s="3">
        <f t="shared" si="6"/>
        <v>1783.45914</v>
      </c>
      <c r="G130" s="3">
        <f t="shared" si="7"/>
        <v>41524.71296</v>
      </c>
    </row>
    <row r="131">
      <c r="A131" s="3">
        <f t="shared" si="3"/>
        <v>9.833333333</v>
      </c>
      <c r="B131" s="1">
        <f t="shared" si="1"/>
        <v>12</v>
      </c>
      <c r="C131" s="1">
        <f t="shared" ref="C131:D131" si="123">C130</f>
        <v>0.06</v>
      </c>
      <c r="D131" s="1">
        <f t="shared" si="123"/>
        <v>2000</v>
      </c>
      <c r="E131" s="3">
        <f t="shared" si="5"/>
        <v>207.6235648</v>
      </c>
      <c r="F131" s="3">
        <f t="shared" si="6"/>
        <v>1792.376435</v>
      </c>
      <c r="G131" s="3">
        <f t="shared" si="7"/>
        <v>39732.33652</v>
      </c>
    </row>
    <row r="132">
      <c r="A132" s="3">
        <f t="shared" si="3"/>
        <v>9.916666667</v>
      </c>
      <c r="B132" s="1">
        <f t="shared" si="1"/>
        <v>12</v>
      </c>
      <c r="C132" s="1">
        <f t="shared" ref="C132:D132" si="124">C131</f>
        <v>0.06</v>
      </c>
      <c r="D132" s="1">
        <f t="shared" si="124"/>
        <v>2000</v>
      </c>
      <c r="E132" s="3">
        <f t="shared" si="5"/>
        <v>198.6616826</v>
      </c>
      <c r="F132" s="3">
        <f t="shared" si="6"/>
        <v>1801.338317</v>
      </c>
      <c r="G132" s="3">
        <f t="shared" si="7"/>
        <v>37930.9982</v>
      </c>
    </row>
    <row r="133">
      <c r="A133" s="3">
        <f t="shared" si="3"/>
        <v>10</v>
      </c>
      <c r="B133" s="1">
        <f t="shared" si="1"/>
        <v>12</v>
      </c>
      <c r="C133" s="1">
        <f t="shared" ref="C133:D133" si="125">C132</f>
        <v>0.06</v>
      </c>
      <c r="D133" s="1">
        <f t="shared" si="125"/>
        <v>2000</v>
      </c>
      <c r="E133" s="3">
        <f t="shared" si="5"/>
        <v>189.654991</v>
      </c>
      <c r="F133" s="3">
        <f t="shared" si="6"/>
        <v>1810.345009</v>
      </c>
      <c r="G133" s="3">
        <f t="shared" si="7"/>
        <v>36120.65319</v>
      </c>
    </row>
    <row r="134">
      <c r="A134" s="3">
        <f t="shared" si="3"/>
        <v>10.08333333</v>
      </c>
      <c r="B134" s="1">
        <f t="shared" si="1"/>
        <v>12</v>
      </c>
      <c r="C134" s="1">
        <f t="shared" ref="C134:D134" si="126">C133</f>
        <v>0.06</v>
      </c>
      <c r="D134" s="1">
        <f t="shared" si="126"/>
        <v>2000</v>
      </c>
      <c r="E134" s="3">
        <f t="shared" si="5"/>
        <v>180.603266</v>
      </c>
      <c r="F134" s="3">
        <f t="shared" si="6"/>
        <v>1819.396734</v>
      </c>
      <c r="G134" s="3">
        <f t="shared" si="7"/>
        <v>34301.25646</v>
      </c>
    </row>
    <row r="135">
      <c r="A135" s="3">
        <f t="shared" si="3"/>
        <v>10.16666667</v>
      </c>
      <c r="B135" s="1">
        <f t="shared" si="1"/>
        <v>12</v>
      </c>
      <c r="C135" s="1">
        <f t="shared" ref="C135:D135" si="127">C134</f>
        <v>0.06</v>
      </c>
      <c r="D135" s="1">
        <f t="shared" si="127"/>
        <v>2000</v>
      </c>
      <c r="E135" s="3">
        <f t="shared" si="5"/>
        <v>171.5062823</v>
      </c>
      <c r="F135" s="3">
        <f t="shared" si="6"/>
        <v>1828.493718</v>
      </c>
      <c r="G135" s="3">
        <f t="shared" si="7"/>
        <v>32472.76274</v>
      </c>
    </row>
    <row r="136">
      <c r="A136" s="3">
        <f t="shared" si="3"/>
        <v>10.25</v>
      </c>
      <c r="B136" s="1">
        <f t="shared" si="1"/>
        <v>12</v>
      </c>
      <c r="C136" s="1">
        <f t="shared" ref="C136:D136" si="128">C135</f>
        <v>0.06</v>
      </c>
      <c r="D136" s="1">
        <f t="shared" si="128"/>
        <v>2000</v>
      </c>
      <c r="E136" s="3">
        <f t="shared" si="5"/>
        <v>162.3638137</v>
      </c>
      <c r="F136" s="3">
        <f t="shared" si="6"/>
        <v>1837.636186</v>
      </c>
      <c r="G136" s="3">
        <f t="shared" si="7"/>
        <v>30635.12656</v>
      </c>
    </row>
    <row r="137">
      <c r="A137" s="3">
        <f t="shared" si="3"/>
        <v>10.33333333</v>
      </c>
      <c r="B137" s="1">
        <f t="shared" si="1"/>
        <v>12</v>
      </c>
      <c r="C137" s="1">
        <f t="shared" ref="C137:D137" si="129">C136</f>
        <v>0.06</v>
      </c>
      <c r="D137" s="1">
        <f t="shared" si="129"/>
        <v>2000</v>
      </c>
      <c r="E137" s="3">
        <f t="shared" si="5"/>
        <v>153.1756328</v>
      </c>
      <c r="F137" s="3">
        <f t="shared" si="6"/>
        <v>1846.824367</v>
      </c>
      <c r="G137" s="3">
        <f t="shared" si="7"/>
        <v>28788.30219</v>
      </c>
    </row>
    <row r="138">
      <c r="A138" s="3">
        <f t="shared" si="3"/>
        <v>10.41666667</v>
      </c>
      <c r="B138" s="1">
        <f t="shared" si="1"/>
        <v>12</v>
      </c>
      <c r="C138" s="1">
        <f t="shared" ref="C138:D138" si="130">C137</f>
        <v>0.06</v>
      </c>
      <c r="D138" s="1">
        <f t="shared" si="130"/>
        <v>2000</v>
      </c>
      <c r="E138" s="3">
        <f t="shared" si="5"/>
        <v>143.9415109</v>
      </c>
      <c r="F138" s="3">
        <f t="shared" si="6"/>
        <v>1856.058489</v>
      </c>
      <c r="G138" s="3">
        <f t="shared" si="7"/>
        <v>26932.2437</v>
      </c>
    </row>
    <row r="139">
      <c r="A139" s="3">
        <f t="shared" si="3"/>
        <v>10.5</v>
      </c>
      <c r="B139" s="1">
        <f t="shared" si="1"/>
        <v>12</v>
      </c>
      <c r="C139" s="1">
        <f t="shared" ref="C139:D139" si="131">C138</f>
        <v>0.06</v>
      </c>
      <c r="D139" s="1">
        <f t="shared" si="131"/>
        <v>2000</v>
      </c>
      <c r="E139" s="3">
        <f t="shared" si="5"/>
        <v>134.6612185</v>
      </c>
      <c r="F139" s="3">
        <f t="shared" si="6"/>
        <v>1865.338782</v>
      </c>
      <c r="G139" s="3">
        <f t="shared" si="7"/>
        <v>25066.90492</v>
      </c>
    </row>
    <row r="140">
      <c r="A140" s="3">
        <f t="shared" si="3"/>
        <v>10.58333333</v>
      </c>
      <c r="B140" s="1">
        <f t="shared" si="1"/>
        <v>12</v>
      </c>
      <c r="C140" s="1">
        <f t="shared" ref="C140:D140" si="132">C139</f>
        <v>0.06</v>
      </c>
      <c r="D140" s="1">
        <f t="shared" si="132"/>
        <v>2000</v>
      </c>
      <c r="E140" s="3">
        <f t="shared" si="5"/>
        <v>125.3345246</v>
      </c>
      <c r="F140" s="3">
        <f t="shared" si="6"/>
        <v>1874.665475</v>
      </c>
      <c r="G140" s="3">
        <f t="shared" si="7"/>
        <v>23192.23944</v>
      </c>
    </row>
    <row r="141">
      <c r="A141" s="3">
        <f t="shared" si="3"/>
        <v>10.66666667</v>
      </c>
      <c r="B141" s="1">
        <f t="shared" si="1"/>
        <v>12</v>
      </c>
      <c r="C141" s="1">
        <f t="shared" ref="C141:D141" si="133">C140</f>
        <v>0.06</v>
      </c>
      <c r="D141" s="1">
        <f t="shared" si="133"/>
        <v>2000</v>
      </c>
      <c r="E141" s="3">
        <f t="shared" si="5"/>
        <v>115.9611972</v>
      </c>
      <c r="F141" s="3">
        <f t="shared" si="6"/>
        <v>1884.038803</v>
      </c>
      <c r="G141" s="3">
        <f t="shared" si="7"/>
        <v>21308.20064</v>
      </c>
    </row>
    <row r="142">
      <c r="A142" s="3">
        <f t="shared" si="3"/>
        <v>10.75</v>
      </c>
      <c r="B142" s="1">
        <f t="shared" si="1"/>
        <v>12</v>
      </c>
      <c r="C142" s="1">
        <f t="shared" ref="C142:D142" si="134">C141</f>
        <v>0.06</v>
      </c>
      <c r="D142" s="1">
        <f t="shared" si="134"/>
        <v>2000</v>
      </c>
      <c r="E142" s="3">
        <f t="shared" si="5"/>
        <v>106.5410032</v>
      </c>
      <c r="F142" s="3">
        <f t="shared" si="6"/>
        <v>1893.458997</v>
      </c>
      <c r="G142" s="3">
        <f t="shared" si="7"/>
        <v>19414.74164</v>
      </c>
    </row>
    <row r="143">
      <c r="A143" s="3">
        <f t="shared" si="3"/>
        <v>10.83333333</v>
      </c>
      <c r="B143" s="1">
        <f t="shared" si="1"/>
        <v>12</v>
      </c>
      <c r="C143" s="1">
        <f t="shared" ref="C143:D143" si="135">C142</f>
        <v>0.06</v>
      </c>
      <c r="D143" s="1">
        <f t="shared" si="135"/>
        <v>2000</v>
      </c>
      <c r="E143" s="3">
        <f t="shared" si="5"/>
        <v>97.07370821</v>
      </c>
      <c r="F143" s="3">
        <f t="shared" si="6"/>
        <v>1902.926292</v>
      </c>
      <c r="G143" s="3">
        <f t="shared" si="7"/>
        <v>17511.81535</v>
      </c>
    </row>
    <row r="144">
      <c r="A144" s="3">
        <f t="shared" si="3"/>
        <v>10.91666667</v>
      </c>
      <c r="B144" s="1">
        <f t="shared" si="1"/>
        <v>12</v>
      </c>
      <c r="C144" s="1">
        <f t="shared" ref="C144:D144" si="136">C143</f>
        <v>0.06</v>
      </c>
      <c r="D144" s="1">
        <f t="shared" si="136"/>
        <v>2000</v>
      </c>
      <c r="E144" s="3">
        <f t="shared" si="5"/>
        <v>87.55907675</v>
      </c>
      <c r="F144" s="3">
        <f t="shared" si="6"/>
        <v>1912.440923</v>
      </c>
      <c r="G144" s="3">
        <f t="shared" si="7"/>
        <v>15599.37443</v>
      </c>
    </row>
    <row r="145">
      <c r="A145" s="3">
        <f t="shared" si="3"/>
        <v>11</v>
      </c>
      <c r="B145" s="1">
        <f t="shared" si="1"/>
        <v>12</v>
      </c>
      <c r="C145" s="1">
        <f t="shared" ref="C145:D145" si="137">C144</f>
        <v>0.06</v>
      </c>
      <c r="D145" s="1">
        <f t="shared" si="137"/>
        <v>2000</v>
      </c>
      <c r="E145" s="3">
        <f t="shared" si="5"/>
        <v>77.99687214</v>
      </c>
      <c r="F145" s="3">
        <f t="shared" si="6"/>
        <v>1922.003128</v>
      </c>
      <c r="G145" s="3">
        <f t="shared" si="7"/>
        <v>13677.3713</v>
      </c>
    </row>
    <row r="146">
      <c r="A146" s="3">
        <f t="shared" si="3"/>
        <v>11.08333333</v>
      </c>
      <c r="B146" s="1">
        <f t="shared" si="1"/>
        <v>12</v>
      </c>
      <c r="C146" s="1">
        <f t="shared" ref="C146:D146" si="138">C145</f>
        <v>0.06</v>
      </c>
      <c r="D146" s="1">
        <f t="shared" si="138"/>
        <v>2000</v>
      </c>
      <c r="E146" s="3">
        <f t="shared" si="5"/>
        <v>68.3868565</v>
      </c>
      <c r="F146" s="3">
        <f t="shared" si="6"/>
        <v>1931.613144</v>
      </c>
      <c r="G146" s="3">
        <f t="shared" si="7"/>
        <v>11745.75816</v>
      </c>
    </row>
    <row r="147">
      <c r="A147" s="3">
        <f t="shared" si="3"/>
        <v>11.16666667</v>
      </c>
      <c r="B147" s="1">
        <f t="shared" si="1"/>
        <v>12</v>
      </c>
      <c r="C147" s="1">
        <f t="shared" ref="C147:D147" si="139">C146</f>
        <v>0.06</v>
      </c>
      <c r="D147" s="1">
        <f t="shared" si="139"/>
        <v>2000</v>
      </c>
      <c r="E147" s="3">
        <f t="shared" si="5"/>
        <v>58.72879078</v>
      </c>
      <c r="F147" s="3">
        <f t="shared" si="6"/>
        <v>1941.271209</v>
      </c>
      <c r="G147" s="3">
        <f t="shared" si="7"/>
        <v>9804.486947</v>
      </c>
    </row>
    <row r="148">
      <c r="A148" s="3">
        <f t="shared" si="3"/>
        <v>11.25</v>
      </c>
      <c r="B148" s="1">
        <f t="shared" si="1"/>
        <v>12</v>
      </c>
      <c r="C148" s="1">
        <f t="shared" ref="C148:D148" si="140">C147</f>
        <v>0.06</v>
      </c>
      <c r="D148" s="1">
        <f t="shared" si="140"/>
        <v>2000</v>
      </c>
      <c r="E148" s="3">
        <f t="shared" si="5"/>
        <v>49.02243474</v>
      </c>
      <c r="F148" s="3">
        <f t="shared" si="6"/>
        <v>1950.977565</v>
      </c>
      <c r="G148" s="3">
        <f t="shared" si="7"/>
        <v>7853.509382</v>
      </c>
    </row>
    <row r="149">
      <c r="A149" s="3">
        <f t="shared" si="3"/>
        <v>11.33333333</v>
      </c>
      <c r="B149" s="1">
        <f t="shared" si="1"/>
        <v>12</v>
      </c>
      <c r="C149" s="1">
        <f t="shared" ref="C149:D149" si="141">C148</f>
        <v>0.06</v>
      </c>
      <c r="D149" s="1">
        <f t="shared" si="141"/>
        <v>2000</v>
      </c>
      <c r="E149" s="3">
        <f t="shared" si="5"/>
        <v>39.26754691</v>
      </c>
      <c r="F149" s="3">
        <f t="shared" si="6"/>
        <v>1960.732453</v>
      </c>
      <c r="G149" s="3">
        <f t="shared" si="7"/>
        <v>5892.776929</v>
      </c>
    </row>
    <row r="150">
      <c r="A150" s="3">
        <f t="shared" si="3"/>
        <v>11.41666667</v>
      </c>
      <c r="B150" s="1">
        <f t="shared" si="1"/>
        <v>12</v>
      </c>
      <c r="C150" s="1">
        <f t="shared" ref="C150:D150" si="142">C149</f>
        <v>0.06</v>
      </c>
      <c r="D150" s="1">
        <f t="shared" si="142"/>
        <v>2000</v>
      </c>
      <c r="E150" s="3">
        <f t="shared" si="5"/>
        <v>29.46388464</v>
      </c>
      <c r="F150" s="3">
        <f t="shared" si="6"/>
        <v>1970.536115</v>
      </c>
      <c r="G150" s="3">
        <f t="shared" si="7"/>
        <v>3922.240813</v>
      </c>
    </row>
    <row r="151">
      <c r="A151" s="3">
        <f t="shared" si="3"/>
        <v>11.5</v>
      </c>
      <c r="B151" s="1">
        <f t="shared" si="1"/>
        <v>12</v>
      </c>
      <c r="C151" s="1">
        <f t="shared" ref="C151:D151" si="143">C150</f>
        <v>0.06</v>
      </c>
      <c r="D151" s="1">
        <f t="shared" si="143"/>
        <v>2000</v>
      </c>
      <c r="E151" s="3">
        <f t="shared" si="5"/>
        <v>19.61120407</v>
      </c>
      <c r="F151" s="3">
        <f t="shared" si="6"/>
        <v>1980.388796</v>
      </c>
      <c r="G151" s="3">
        <f t="shared" si="7"/>
        <v>1941.852017</v>
      </c>
    </row>
    <row r="152">
      <c r="A152" s="3">
        <f t="shared" si="3"/>
        <v>11.58333333</v>
      </c>
      <c r="B152" s="1">
        <f t="shared" si="1"/>
        <v>12</v>
      </c>
      <c r="C152" s="1">
        <f t="shared" ref="C152:D152" si="144">C151</f>
        <v>0.06</v>
      </c>
      <c r="D152" s="1">
        <f t="shared" si="144"/>
        <v>2000</v>
      </c>
      <c r="E152" s="3">
        <f t="shared" si="5"/>
        <v>9.709260087</v>
      </c>
      <c r="F152" s="3">
        <f t="shared" si="6"/>
        <v>1990.29074</v>
      </c>
      <c r="G152" s="3">
        <f t="shared" si="7"/>
        <v>-48.43872244</v>
      </c>
    </row>
    <row r="153">
      <c r="A153" s="3">
        <f t="shared" si="3"/>
        <v>11.66666667</v>
      </c>
      <c r="B153" s="1">
        <f t="shared" si="1"/>
        <v>12</v>
      </c>
      <c r="C153" s="1">
        <f t="shared" ref="C153:D153" si="145">C152</f>
        <v>0.06</v>
      </c>
      <c r="D153" s="1">
        <f t="shared" si="145"/>
        <v>2000</v>
      </c>
      <c r="E153" s="3">
        <f t="shared" si="5"/>
        <v>-0.2421936122</v>
      </c>
      <c r="F153" s="3">
        <f t="shared" si="6"/>
        <v>2000.242194</v>
      </c>
      <c r="G153" s="3">
        <f t="shared" si="7"/>
        <v>-2048.680916</v>
      </c>
    </row>
    <row r="154">
      <c r="A154" s="3">
        <f t="shared" si="3"/>
        <v>11.75</v>
      </c>
      <c r="B154" s="1">
        <f t="shared" si="1"/>
        <v>12</v>
      </c>
      <c r="C154" s="1">
        <f t="shared" ref="C154:D154" si="146">C153</f>
        <v>0.06</v>
      </c>
      <c r="D154" s="1">
        <f t="shared" si="146"/>
        <v>2000</v>
      </c>
      <c r="E154" s="3">
        <f t="shared" si="5"/>
        <v>-10.24340458</v>
      </c>
      <c r="F154" s="3">
        <f t="shared" si="6"/>
        <v>2010.243405</v>
      </c>
      <c r="G154" s="3">
        <f t="shared" si="7"/>
        <v>-4058.924321</v>
      </c>
    </row>
    <row r="155">
      <c r="A155" s="3">
        <f t="shared" si="3"/>
        <v>11.83333333</v>
      </c>
      <c r="B155" s="1">
        <f t="shared" si="1"/>
        <v>12</v>
      </c>
      <c r="C155" s="1">
        <f t="shared" ref="C155:D155" si="147">C154</f>
        <v>0.06</v>
      </c>
      <c r="D155" s="1">
        <f t="shared" si="147"/>
        <v>2000</v>
      </c>
      <c r="E155" s="3">
        <f t="shared" si="5"/>
        <v>-20.2946216</v>
      </c>
      <c r="F155" s="3">
        <f t="shared" si="6"/>
        <v>2020.294622</v>
      </c>
      <c r="G155" s="3">
        <f t="shared" si="7"/>
        <v>-6079.218942</v>
      </c>
    </row>
    <row r="156">
      <c r="A156" s="3">
        <f t="shared" si="3"/>
        <v>11.91666667</v>
      </c>
      <c r="B156" s="1">
        <f t="shared" si="1"/>
        <v>12</v>
      </c>
      <c r="C156" s="1">
        <f t="shared" ref="C156:D156" si="148">C155</f>
        <v>0.06</v>
      </c>
      <c r="D156" s="1">
        <f t="shared" si="148"/>
        <v>2000</v>
      </c>
      <c r="E156" s="3">
        <f t="shared" si="5"/>
        <v>-30.39609471</v>
      </c>
      <c r="F156" s="3">
        <f t="shared" si="6"/>
        <v>2030.396095</v>
      </c>
      <c r="G156" s="3">
        <f t="shared" si="7"/>
        <v>-8109.615037</v>
      </c>
    </row>
    <row r="157">
      <c r="A157" s="3">
        <f t="shared" si="3"/>
        <v>12</v>
      </c>
      <c r="B157" s="1">
        <f t="shared" si="1"/>
        <v>12</v>
      </c>
      <c r="C157" s="1">
        <f t="shared" ref="C157:D157" si="149">C156</f>
        <v>0.06</v>
      </c>
      <c r="D157" s="1">
        <f t="shared" si="149"/>
        <v>2000</v>
      </c>
      <c r="E157" s="3">
        <f t="shared" si="5"/>
        <v>-40.54807518</v>
      </c>
      <c r="F157" s="3">
        <f t="shared" si="6"/>
        <v>2040.548075</v>
      </c>
      <c r="G157" s="3">
        <f t="shared" si="7"/>
        <v>-10150.16311</v>
      </c>
    </row>
    <row r="158">
      <c r="A158" s="3">
        <f t="shared" si="3"/>
        <v>12.08333333</v>
      </c>
      <c r="B158" s="1">
        <f t="shared" si="1"/>
        <v>12</v>
      </c>
      <c r="C158" s="1">
        <f t="shared" ref="C158:D158" si="150">C157</f>
        <v>0.06</v>
      </c>
      <c r="D158" s="1">
        <f t="shared" si="150"/>
        <v>2000</v>
      </c>
      <c r="E158" s="3">
        <f t="shared" si="5"/>
        <v>-50.75081556</v>
      </c>
      <c r="F158" s="3">
        <f t="shared" si="6"/>
        <v>2050.750816</v>
      </c>
      <c r="G158" s="3">
        <f t="shared" si="7"/>
        <v>-12200.91393</v>
      </c>
    </row>
    <row r="159">
      <c r="A159" s="3">
        <f t="shared" si="3"/>
        <v>12.16666667</v>
      </c>
      <c r="B159" s="1">
        <f t="shared" si="1"/>
        <v>12</v>
      </c>
      <c r="C159" s="1">
        <f t="shared" ref="C159:D159" si="151">C158</f>
        <v>0.06</v>
      </c>
      <c r="D159" s="1">
        <f t="shared" si="151"/>
        <v>2000</v>
      </c>
      <c r="E159" s="3">
        <f t="shared" si="5"/>
        <v>-61.00456964</v>
      </c>
      <c r="F159" s="3">
        <f t="shared" si="6"/>
        <v>2061.00457</v>
      </c>
      <c r="G159" s="3">
        <f t="shared" si="7"/>
        <v>-14261.9185</v>
      </c>
    </row>
    <row r="160">
      <c r="A160" s="3">
        <f t="shared" si="3"/>
        <v>12.25</v>
      </c>
      <c r="B160" s="1">
        <f t="shared" si="1"/>
        <v>12</v>
      </c>
      <c r="C160" s="1">
        <f t="shared" ref="C160:D160" si="152">C159</f>
        <v>0.06</v>
      </c>
      <c r="D160" s="1">
        <f t="shared" si="152"/>
        <v>2000</v>
      </c>
      <c r="E160" s="3">
        <f t="shared" si="5"/>
        <v>-71.30959249</v>
      </c>
      <c r="F160" s="3">
        <f t="shared" si="6"/>
        <v>2071.309592</v>
      </c>
      <c r="G160" s="3">
        <f t="shared" si="7"/>
        <v>-16333.22809</v>
      </c>
    </row>
    <row r="161">
      <c r="A161" s="3">
        <f t="shared" si="3"/>
        <v>12.33333333</v>
      </c>
      <c r="B161" s="1">
        <f t="shared" si="1"/>
        <v>12</v>
      </c>
      <c r="C161" s="1">
        <f t="shared" ref="C161:D161" si="153">C160</f>
        <v>0.06</v>
      </c>
      <c r="D161" s="1">
        <f t="shared" si="153"/>
        <v>2000</v>
      </c>
      <c r="E161" s="3">
        <f t="shared" si="5"/>
        <v>-81.66614045</v>
      </c>
      <c r="F161" s="3">
        <f t="shared" si="6"/>
        <v>2081.66614</v>
      </c>
      <c r="G161" s="3">
        <f t="shared" si="7"/>
        <v>-18414.89423</v>
      </c>
    </row>
    <row r="162">
      <c r="A162" s="3">
        <f t="shared" si="3"/>
        <v>12.41666667</v>
      </c>
      <c r="B162" s="1">
        <f t="shared" si="1"/>
        <v>12</v>
      </c>
      <c r="C162" s="1">
        <f t="shared" ref="C162:D162" si="154">C161</f>
        <v>0.06</v>
      </c>
      <c r="D162" s="1">
        <f t="shared" si="154"/>
        <v>2000</v>
      </c>
      <c r="E162" s="3">
        <f t="shared" si="5"/>
        <v>-92.07447115</v>
      </c>
      <c r="F162" s="3">
        <f t="shared" si="6"/>
        <v>2092.074471</v>
      </c>
      <c r="G162" s="3">
        <f t="shared" si="7"/>
        <v>-20506.9687</v>
      </c>
    </row>
    <row r="163">
      <c r="A163" s="3">
        <f t="shared" si="3"/>
        <v>12.5</v>
      </c>
      <c r="B163" s="1">
        <f t="shared" si="1"/>
        <v>12</v>
      </c>
      <c r="C163" s="1">
        <f t="shared" ref="C163:D163" si="155">C162</f>
        <v>0.06</v>
      </c>
      <c r="D163" s="1">
        <f t="shared" si="155"/>
        <v>2000</v>
      </c>
      <c r="E163" s="3">
        <f t="shared" si="5"/>
        <v>-102.5348435</v>
      </c>
      <c r="F163" s="3">
        <f t="shared" si="6"/>
        <v>2102.534844</v>
      </c>
      <c r="G163" s="3">
        <f t="shared" si="7"/>
        <v>-22609.50354</v>
      </c>
    </row>
    <row r="164">
      <c r="A164" s="3">
        <f t="shared" si="3"/>
        <v>12.58333333</v>
      </c>
      <c r="B164" s="1">
        <f t="shared" si="1"/>
        <v>12</v>
      </c>
      <c r="C164" s="1">
        <f t="shared" ref="C164:D164" si="156">C163</f>
        <v>0.06</v>
      </c>
      <c r="D164" s="1">
        <f t="shared" si="156"/>
        <v>2000</v>
      </c>
      <c r="E164" s="3">
        <f t="shared" si="5"/>
        <v>-113.0475177</v>
      </c>
      <c r="F164" s="3">
        <f t="shared" si="6"/>
        <v>2113.047518</v>
      </c>
      <c r="G164" s="3">
        <f t="shared" si="7"/>
        <v>-24722.55106</v>
      </c>
    </row>
    <row r="165">
      <c r="A165" s="3">
        <f t="shared" si="3"/>
        <v>12.66666667</v>
      </c>
      <c r="B165" s="1">
        <f t="shared" si="1"/>
        <v>12</v>
      </c>
      <c r="C165" s="1">
        <f t="shared" ref="C165:D165" si="157">C164</f>
        <v>0.06</v>
      </c>
      <c r="D165" s="1">
        <f t="shared" si="157"/>
        <v>2000</v>
      </c>
      <c r="E165" s="3">
        <f t="shared" si="5"/>
        <v>-123.6127553</v>
      </c>
      <c r="F165" s="3">
        <f t="shared" si="6"/>
        <v>2123.612755</v>
      </c>
      <c r="G165" s="3">
        <f t="shared" si="7"/>
        <v>-26846.16382</v>
      </c>
    </row>
    <row r="166">
      <c r="A166" s="3">
        <f t="shared" si="3"/>
        <v>12.75</v>
      </c>
      <c r="B166" s="1">
        <f t="shared" si="1"/>
        <v>12</v>
      </c>
      <c r="C166" s="1">
        <f t="shared" ref="C166:D166" si="158">C165</f>
        <v>0.06</v>
      </c>
      <c r="D166" s="1">
        <f t="shared" si="158"/>
        <v>2000</v>
      </c>
      <c r="E166" s="3">
        <f t="shared" si="5"/>
        <v>-134.2308191</v>
      </c>
      <c r="F166" s="3">
        <f t="shared" si="6"/>
        <v>2134.230819</v>
      </c>
      <c r="G166" s="3">
        <f t="shared" si="7"/>
        <v>-28980.39464</v>
      </c>
    </row>
    <row r="167">
      <c r="A167" s="3">
        <f t="shared" si="3"/>
        <v>12.83333333</v>
      </c>
      <c r="B167" s="1">
        <f t="shared" si="1"/>
        <v>12</v>
      </c>
      <c r="C167" s="1">
        <f t="shared" ref="C167:D167" si="159">C166</f>
        <v>0.06</v>
      </c>
      <c r="D167" s="1">
        <f t="shared" si="159"/>
        <v>2000</v>
      </c>
      <c r="E167" s="3">
        <f t="shared" si="5"/>
        <v>-144.9019732</v>
      </c>
      <c r="F167" s="3">
        <f t="shared" si="6"/>
        <v>2144.901973</v>
      </c>
      <c r="G167" s="3">
        <f t="shared" si="7"/>
        <v>-31125.29661</v>
      </c>
    </row>
    <row r="168">
      <c r="A168" s="3">
        <f t="shared" si="3"/>
        <v>12.91666667</v>
      </c>
      <c r="B168" s="1">
        <f t="shared" si="1"/>
        <v>12</v>
      </c>
      <c r="C168" s="1">
        <f t="shared" ref="C168:D168" si="160">C167</f>
        <v>0.06</v>
      </c>
      <c r="D168" s="1">
        <f t="shared" si="160"/>
        <v>2000</v>
      </c>
      <c r="E168" s="3">
        <f t="shared" si="5"/>
        <v>-155.6264831</v>
      </c>
      <c r="F168" s="3">
        <f t="shared" si="6"/>
        <v>2155.626483</v>
      </c>
      <c r="G168" s="3">
        <f t="shared" si="7"/>
        <v>-33280.92309</v>
      </c>
    </row>
    <row r="169">
      <c r="A169" s="3">
        <f t="shared" si="3"/>
        <v>13</v>
      </c>
      <c r="B169" s="1">
        <f t="shared" si="1"/>
        <v>12</v>
      </c>
      <c r="C169" s="1">
        <f t="shared" ref="C169:D169" si="161">C168</f>
        <v>0.06</v>
      </c>
      <c r="D169" s="1">
        <f t="shared" si="161"/>
        <v>2000</v>
      </c>
      <c r="E169" s="3">
        <f t="shared" si="5"/>
        <v>-166.4046155</v>
      </c>
      <c r="F169" s="3">
        <f t="shared" si="6"/>
        <v>2166.404615</v>
      </c>
      <c r="G169" s="3">
        <f t="shared" si="7"/>
        <v>-35447.32771</v>
      </c>
    </row>
    <row r="170">
      <c r="A170" s="3">
        <f t="shared" si="3"/>
        <v>13.08333333</v>
      </c>
      <c r="B170" s="1">
        <f t="shared" si="1"/>
        <v>12</v>
      </c>
      <c r="C170" s="1">
        <f t="shared" ref="C170:D170" si="162">C169</f>
        <v>0.06</v>
      </c>
      <c r="D170" s="1">
        <f t="shared" si="162"/>
        <v>2000</v>
      </c>
      <c r="E170" s="3">
        <f t="shared" si="5"/>
        <v>-177.2366385</v>
      </c>
      <c r="F170" s="3">
        <f t="shared" si="6"/>
        <v>2177.236639</v>
      </c>
      <c r="G170" s="3">
        <f t="shared" si="7"/>
        <v>-37624.56435</v>
      </c>
    </row>
    <row r="171">
      <c r="A171" s="3">
        <f t="shared" si="3"/>
        <v>13.16666667</v>
      </c>
      <c r="B171" s="1">
        <f t="shared" si="1"/>
        <v>12</v>
      </c>
      <c r="C171" s="1">
        <f t="shared" ref="C171:D171" si="163">C170</f>
        <v>0.06</v>
      </c>
      <c r="D171" s="1">
        <f t="shared" si="163"/>
        <v>2000</v>
      </c>
      <c r="E171" s="3">
        <f t="shared" si="5"/>
        <v>-188.1228217</v>
      </c>
      <c r="F171" s="3">
        <f t="shared" si="6"/>
        <v>2188.122822</v>
      </c>
      <c r="G171" s="3">
        <f t="shared" si="7"/>
        <v>-39812.68717</v>
      </c>
    </row>
    <row r="172">
      <c r="A172" s="3">
        <f t="shared" si="3"/>
        <v>13.25</v>
      </c>
      <c r="B172" s="1">
        <f t="shared" si="1"/>
        <v>12</v>
      </c>
      <c r="C172" s="1">
        <f t="shared" ref="C172:D172" si="164">C171</f>
        <v>0.06</v>
      </c>
      <c r="D172" s="1">
        <f t="shared" si="164"/>
        <v>2000</v>
      </c>
      <c r="E172" s="3">
        <f t="shared" si="5"/>
        <v>-199.0634358</v>
      </c>
      <c r="F172" s="3">
        <f t="shared" si="6"/>
        <v>2199.063436</v>
      </c>
      <c r="G172" s="3">
        <f t="shared" si="7"/>
        <v>-42011.7506</v>
      </c>
    </row>
    <row r="173">
      <c r="A173" s="3">
        <f t="shared" si="3"/>
        <v>13.33333333</v>
      </c>
      <c r="B173" s="1">
        <f t="shared" si="1"/>
        <v>12</v>
      </c>
      <c r="C173" s="1">
        <f t="shared" ref="C173:D173" si="165">C172</f>
        <v>0.06</v>
      </c>
      <c r="D173" s="1">
        <f t="shared" si="165"/>
        <v>2000</v>
      </c>
      <c r="E173" s="3">
        <f t="shared" si="5"/>
        <v>-210.058753</v>
      </c>
      <c r="F173" s="3">
        <f t="shared" si="6"/>
        <v>2210.058753</v>
      </c>
      <c r="G173" s="3">
        <f t="shared" si="7"/>
        <v>-44221.80936</v>
      </c>
    </row>
    <row r="174">
      <c r="A174" s="3">
        <f t="shared" si="3"/>
        <v>13.41666667</v>
      </c>
      <c r="B174" s="1">
        <f t="shared" si="1"/>
        <v>12</v>
      </c>
      <c r="C174" s="1">
        <f t="shared" ref="C174:D174" si="166">C173</f>
        <v>0.06</v>
      </c>
      <c r="D174" s="1">
        <f t="shared" si="166"/>
        <v>2000</v>
      </c>
      <c r="E174" s="3">
        <f t="shared" si="5"/>
        <v>-221.1090468</v>
      </c>
      <c r="F174" s="3">
        <f t="shared" si="6"/>
        <v>2221.109047</v>
      </c>
      <c r="G174" s="3">
        <f t="shared" si="7"/>
        <v>-46442.9184</v>
      </c>
    </row>
    <row r="175">
      <c r="A175" s="3">
        <f t="shared" si="3"/>
        <v>13.5</v>
      </c>
      <c r="B175" s="1">
        <f t="shared" si="1"/>
        <v>12</v>
      </c>
      <c r="C175" s="1">
        <f t="shared" ref="C175:D175" si="167">C174</f>
        <v>0.06</v>
      </c>
      <c r="D175" s="1">
        <f t="shared" si="167"/>
        <v>2000</v>
      </c>
      <c r="E175" s="3">
        <f t="shared" si="5"/>
        <v>-232.214592</v>
      </c>
      <c r="F175" s="3">
        <f t="shared" si="6"/>
        <v>2232.214592</v>
      </c>
      <c r="G175" s="3">
        <f t="shared" si="7"/>
        <v>-48675.133</v>
      </c>
    </row>
    <row r="176">
      <c r="A176" s="3">
        <f t="shared" si="3"/>
        <v>13.58333333</v>
      </c>
      <c r="B176" s="1">
        <f t="shared" si="1"/>
        <v>12</v>
      </c>
      <c r="C176" s="1">
        <f t="shared" ref="C176:D176" si="168">C175</f>
        <v>0.06</v>
      </c>
      <c r="D176" s="1">
        <f t="shared" si="168"/>
        <v>2000</v>
      </c>
      <c r="E176" s="3">
        <f t="shared" si="5"/>
        <v>-243.375665</v>
      </c>
      <c r="F176" s="3">
        <f t="shared" si="6"/>
        <v>2243.375665</v>
      </c>
      <c r="G176" s="3">
        <f t="shared" si="7"/>
        <v>-50918.50866</v>
      </c>
    </row>
    <row r="177">
      <c r="A177" s="3">
        <f t="shared" si="3"/>
        <v>13.66666667</v>
      </c>
      <c r="B177" s="1">
        <f t="shared" si="1"/>
        <v>12</v>
      </c>
      <c r="C177" s="1">
        <f t="shared" ref="C177:D177" si="169">C176</f>
        <v>0.06</v>
      </c>
      <c r="D177" s="1">
        <f t="shared" si="169"/>
        <v>2000</v>
      </c>
      <c r="E177" s="3">
        <f t="shared" si="5"/>
        <v>-254.5925433</v>
      </c>
      <c r="F177" s="3">
        <f t="shared" si="6"/>
        <v>2254.592543</v>
      </c>
      <c r="G177" s="3">
        <f t="shared" si="7"/>
        <v>-53173.10121</v>
      </c>
    </row>
    <row r="178">
      <c r="A178" s="3">
        <f t="shared" si="3"/>
        <v>13.75</v>
      </c>
      <c r="B178" s="1">
        <f t="shared" si="1"/>
        <v>12</v>
      </c>
      <c r="C178" s="1">
        <f t="shared" ref="C178:D178" si="170">C177</f>
        <v>0.06</v>
      </c>
      <c r="D178" s="1">
        <f t="shared" si="170"/>
        <v>2000</v>
      </c>
      <c r="E178" s="3">
        <f t="shared" si="5"/>
        <v>-265.865506</v>
      </c>
      <c r="F178" s="3">
        <f t="shared" si="6"/>
        <v>2265.865506</v>
      </c>
      <c r="G178" s="3">
        <f t="shared" si="7"/>
        <v>-55438.96671</v>
      </c>
    </row>
    <row r="179">
      <c r="A179" s="3">
        <f t="shared" si="3"/>
        <v>13.83333333</v>
      </c>
      <c r="B179" s="1">
        <f t="shared" si="1"/>
        <v>12</v>
      </c>
      <c r="C179" s="1">
        <f t="shared" ref="C179:D179" si="171">C178</f>
        <v>0.06</v>
      </c>
      <c r="D179" s="1">
        <f t="shared" si="171"/>
        <v>2000</v>
      </c>
      <c r="E179" s="3">
        <f t="shared" si="5"/>
        <v>-277.1948336</v>
      </c>
      <c r="F179" s="3">
        <f t="shared" si="6"/>
        <v>2277.194834</v>
      </c>
      <c r="G179" s="3">
        <f t="shared" si="7"/>
        <v>-57716.16154</v>
      </c>
    </row>
    <row r="180">
      <c r="A180" s="3">
        <f t="shared" si="3"/>
        <v>13.91666667</v>
      </c>
      <c r="B180" s="1">
        <f t="shared" si="1"/>
        <v>12</v>
      </c>
      <c r="C180" s="1">
        <f t="shared" ref="C180:D180" si="172">C179</f>
        <v>0.06</v>
      </c>
      <c r="D180" s="1">
        <f t="shared" si="172"/>
        <v>2000</v>
      </c>
      <c r="E180" s="3">
        <f t="shared" si="5"/>
        <v>-288.5808077</v>
      </c>
      <c r="F180" s="3">
        <f t="shared" si="6"/>
        <v>2288.580808</v>
      </c>
      <c r="G180" s="3">
        <f t="shared" si="7"/>
        <v>-60004.74235</v>
      </c>
    </row>
    <row r="181">
      <c r="A181" s="3">
        <f t="shared" si="3"/>
        <v>14</v>
      </c>
      <c r="B181" s="1">
        <f t="shared" si="1"/>
        <v>12</v>
      </c>
      <c r="C181" s="1">
        <f t="shared" ref="C181:D181" si="173">C180</f>
        <v>0.06</v>
      </c>
      <c r="D181" s="1">
        <f t="shared" si="173"/>
        <v>2000</v>
      </c>
      <c r="E181" s="3">
        <f t="shared" si="5"/>
        <v>-300.0237118</v>
      </c>
      <c r="F181" s="3">
        <f t="shared" si="6"/>
        <v>2300.023712</v>
      </c>
      <c r="G181" s="3">
        <f t="shared" si="7"/>
        <v>-62304.76606</v>
      </c>
    </row>
    <row r="182">
      <c r="A182" s="3">
        <f t="shared" si="3"/>
        <v>14.08333333</v>
      </c>
      <c r="B182" s="1">
        <f t="shared" si="1"/>
        <v>12</v>
      </c>
      <c r="C182" s="1">
        <f t="shared" ref="C182:D182" si="174">C181</f>
        <v>0.06</v>
      </c>
      <c r="D182" s="1">
        <f t="shared" si="174"/>
        <v>2000</v>
      </c>
      <c r="E182" s="3">
        <f t="shared" si="5"/>
        <v>-311.5238303</v>
      </c>
      <c r="F182" s="3">
        <f t="shared" si="6"/>
        <v>2311.52383</v>
      </c>
      <c r="G182" s="3">
        <f t="shared" si="7"/>
        <v>-64616.28989</v>
      </c>
    </row>
    <row r="183">
      <c r="A183" s="3">
        <f t="shared" si="3"/>
        <v>14.16666667</v>
      </c>
      <c r="B183" s="1">
        <f t="shared" si="1"/>
        <v>12</v>
      </c>
      <c r="C183" s="1">
        <f t="shared" ref="C183:D183" si="175">C182</f>
        <v>0.06</v>
      </c>
      <c r="D183" s="1">
        <f t="shared" si="175"/>
        <v>2000</v>
      </c>
      <c r="E183" s="3">
        <f t="shared" si="5"/>
        <v>-323.0814495</v>
      </c>
      <c r="F183" s="3">
        <f t="shared" si="6"/>
        <v>2323.081449</v>
      </c>
      <c r="G183" s="3">
        <f t="shared" si="7"/>
        <v>-66939.37134</v>
      </c>
    </row>
    <row r="184">
      <c r="A184" s="3">
        <f t="shared" si="3"/>
        <v>14.25</v>
      </c>
      <c r="B184" s="1">
        <f t="shared" si="1"/>
        <v>12</v>
      </c>
      <c r="C184" s="1">
        <f t="shared" ref="C184:D184" si="176">C183</f>
        <v>0.06</v>
      </c>
      <c r="D184" s="1">
        <f t="shared" si="176"/>
        <v>2000</v>
      </c>
      <c r="E184" s="3">
        <f t="shared" si="5"/>
        <v>-334.6968567</v>
      </c>
      <c r="F184" s="3">
        <f t="shared" si="6"/>
        <v>2334.696857</v>
      </c>
      <c r="G184" s="3">
        <f t="shared" si="7"/>
        <v>-69274.0682</v>
      </c>
    </row>
    <row r="185">
      <c r="A185" s="3">
        <f t="shared" si="3"/>
        <v>14.33333333</v>
      </c>
      <c r="B185" s="1">
        <f t="shared" si="1"/>
        <v>12</v>
      </c>
      <c r="C185" s="1">
        <f t="shared" ref="C185:D185" si="177">C184</f>
        <v>0.06</v>
      </c>
      <c r="D185" s="1">
        <f t="shared" si="177"/>
        <v>2000</v>
      </c>
      <c r="E185" s="3">
        <f t="shared" si="5"/>
        <v>-346.370341</v>
      </c>
      <c r="F185" s="3">
        <f t="shared" si="6"/>
        <v>2346.370341</v>
      </c>
      <c r="G185" s="3">
        <f t="shared" si="7"/>
        <v>-71620.43854</v>
      </c>
    </row>
    <row r="186">
      <c r="A186" s="3">
        <f t="shared" si="3"/>
        <v>14.41666667</v>
      </c>
      <c r="B186" s="1">
        <f t="shared" si="1"/>
        <v>12</v>
      </c>
      <c r="C186" s="1">
        <f t="shared" ref="C186:D186" si="178">C185</f>
        <v>0.06</v>
      </c>
      <c r="D186" s="1">
        <f t="shared" si="178"/>
        <v>2000</v>
      </c>
      <c r="E186" s="3">
        <f t="shared" si="5"/>
        <v>-358.1021927</v>
      </c>
      <c r="F186" s="3">
        <f t="shared" si="6"/>
        <v>2358.102193</v>
      </c>
      <c r="G186" s="3">
        <f t="shared" si="7"/>
        <v>-73978.54073</v>
      </c>
    </row>
    <row r="187">
      <c r="A187" s="3">
        <f t="shared" si="3"/>
        <v>14.5</v>
      </c>
      <c r="B187" s="1">
        <f t="shared" si="1"/>
        <v>12</v>
      </c>
      <c r="C187" s="1">
        <f t="shared" ref="C187:D187" si="179">C186</f>
        <v>0.06</v>
      </c>
      <c r="D187" s="1">
        <f t="shared" si="179"/>
        <v>2000</v>
      </c>
      <c r="E187" s="3">
        <f t="shared" si="5"/>
        <v>-369.8927037</v>
      </c>
      <c r="F187" s="3">
        <f t="shared" si="6"/>
        <v>2369.892704</v>
      </c>
      <c r="G187" s="3">
        <f t="shared" si="7"/>
        <v>-76348.43344</v>
      </c>
    </row>
    <row r="188">
      <c r="A188" s="3">
        <f t="shared" si="3"/>
        <v>14.58333333</v>
      </c>
      <c r="B188" s="1">
        <f t="shared" si="1"/>
        <v>12</v>
      </c>
      <c r="C188" s="1">
        <f t="shared" ref="C188:D188" si="180">C187</f>
        <v>0.06</v>
      </c>
      <c r="D188" s="1">
        <f t="shared" si="180"/>
        <v>2000</v>
      </c>
      <c r="E188" s="3">
        <f t="shared" si="5"/>
        <v>-381.7421672</v>
      </c>
      <c r="F188" s="3">
        <f t="shared" si="6"/>
        <v>2381.742167</v>
      </c>
      <c r="G188" s="3">
        <f t="shared" si="7"/>
        <v>-78730.17561</v>
      </c>
    </row>
    <row r="189">
      <c r="A189" s="3">
        <f t="shared" si="3"/>
        <v>14.66666667</v>
      </c>
      <c r="B189" s="1">
        <f t="shared" si="1"/>
        <v>12</v>
      </c>
      <c r="C189" s="1">
        <f t="shared" ref="C189:D189" si="181">C188</f>
        <v>0.06</v>
      </c>
      <c r="D189" s="1">
        <f t="shared" si="181"/>
        <v>2000</v>
      </c>
      <c r="E189" s="3">
        <f t="shared" si="5"/>
        <v>-393.650878</v>
      </c>
      <c r="F189" s="3">
        <f t="shared" si="6"/>
        <v>2393.650878</v>
      </c>
      <c r="G189" s="3">
        <f t="shared" si="7"/>
        <v>-81123.82648</v>
      </c>
    </row>
    <row r="190">
      <c r="A190" s="3">
        <f t="shared" si="3"/>
        <v>14.75</v>
      </c>
      <c r="B190" s="1">
        <f t="shared" si="1"/>
        <v>12</v>
      </c>
      <c r="C190" s="1">
        <f t="shared" ref="C190:D190" si="182">C189</f>
        <v>0.06</v>
      </c>
      <c r="D190" s="1">
        <f t="shared" si="182"/>
        <v>2000</v>
      </c>
      <c r="E190" s="3">
        <f t="shared" si="5"/>
        <v>-405.6191324</v>
      </c>
      <c r="F190" s="3">
        <f t="shared" si="6"/>
        <v>2405.619132</v>
      </c>
      <c r="G190" s="3">
        <f t="shared" si="7"/>
        <v>-83529.44562</v>
      </c>
    </row>
    <row r="191">
      <c r="A191" s="3">
        <f t="shared" si="3"/>
        <v>14.83333333</v>
      </c>
      <c r="B191" s="1">
        <f t="shared" si="1"/>
        <v>12</v>
      </c>
      <c r="C191" s="1">
        <f t="shared" ref="C191:D191" si="183">C190</f>
        <v>0.06</v>
      </c>
      <c r="D191" s="1">
        <f t="shared" si="183"/>
        <v>2000</v>
      </c>
      <c r="E191" s="3">
        <f t="shared" si="5"/>
        <v>-417.6472281</v>
      </c>
      <c r="F191" s="3">
        <f t="shared" si="6"/>
        <v>2417.647228</v>
      </c>
      <c r="G191" s="3">
        <f t="shared" si="7"/>
        <v>-85947.09284</v>
      </c>
    </row>
    <row r="192">
      <c r="A192" s="3">
        <f t="shared" si="3"/>
        <v>14.91666667</v>
      </c>
      <c r="B192" s="1">
        <f t="shared" si="1"/>
        <v>12</v>
      </c>
      <c r="C192" s="1">
        <f t="shared" ref="C192:D192" si="184">C191</f>
        <v>0.06</v>
      </c>
      <c r="D192" s="1">
        <f t="shared" si="184"/>
        <v>2000</v>
      </c>
      <c r="E192" s="3">
        <f t="shared" si="5"/>
        <v>-429.7354642</v>
      </c>
      <c r="F192" s="3">
        <f t="shared" si="6"/>
        <v>2429.735464</v>
      </c>
      <c r="G192" s="3">
        <f t="shared" si="7"/>
        <v>-88376.82831</v>
      </c>
    </row>
    <row r="193">
      <c r="A193" s="3">
        <f t="shared" si="3"/>
        <v>15</v>
      </c>
      <c r="B193" s="1">
        <f t="shared" si="1"/>
        <v>12</v>
      </c>
      <c r="C193" s="1">
        <f t="shared" ref="C193:D193" si="185">C192</f>
        <v>0.06</v>
      </c>
      <c r="D193" s="1">
        <f t="shared" si="185"/>
        <v>2000</v>
      </c>
      <c r="E193" s="3">
        <f t="shared" si="5"/>
        <v>-441.8841415</v>
      </c>
      <c r="F193" s="3">
        <f t="shared" si="6"/>
        <v>2441.884142</v>
      </c>
      <c r="G193" s="3">
        <f t="shared" si="7"/>
        <v>-90818.71245</v>
      </c>
    </row>
    <row r="194">
      <c r="A194" s="3">
        <f t="shared" si="3"/>
        <v>15.08333333</v>
      </c>
      <c r="B194" s="1">
        <f t="shared" si="1"/>
        <v>12</v>
      </c>
      <c r="C194" s="1">
        <f t="shared" ref="C194:D194" si="186">C193</f>
        <v>0.06</v>
      </c>
      <c r="D194" s="1">
        <f t="shared" si="186"/>
        <v>2000</v>
      </c>
      <c r="E194" s="3">
        <f t="shared" si="5"/>
        <v>-454.0935622</v>
      </c>
      <c r="F194" s="3">
        <f t="shared" si="6"/>
        <v>2454.093562</v>
      </c>
      <c r="G194" s="3">
        <f t="shared" si="7"/>
        <v>-93272.80601</v>
      </c>
    </row>
    <row r="195">
      <c r="A195" s="3">
        <f t="shared" si="3"/>
        <v>15.16666667</v>
      </c>
      <c r="B195" s="1">
        <f t="shared" si="1"/>
        <v>12</v>
      </c>
      <c r="C195" s="1">
        <f t="shared" ref="C195:D195" si="187">C194</f>
        <v>0.06</v>
      </c>
      <c r="D195" s="1">
        <f t="shared" si="187"/>
        <v>2000</v>
      </c>
      <c r="E195" s="3">
        <f t="shared" si="5"/>
        <v>-466.3640301</v>
      </c>
      <c r="F195" s="3">
        <f t="shared" si="6"/>
        <v>2466.36403</v>
      </c>
      <c r="G195" s="3">
        <f t="shared" si="7"/>
        <v>-95739.17004</v>
      </c>
    </row>
    <row r="196">
      <c r="A196" s="3">
        <f t="shared" si="3"/>
        <v>15.25</v>
      </c>
      <c r="B196" s="1">
        <f t="shared" si="1"/>
        <v>12</v>
      </c>
      <c r="C196" s="1">
        <f t="shared" ref="C196:D196" si="188">C195</f>
        <v>0.06</v>
      </c>
      <c r="D196" s="1">
        <f t="shared" si="188"/>
        <v>2000</v>
      </c>
      <c r="E196" s="3">
        <f t="shared" si="5"/>
        <v>-478.6958502</v>
      </c>
      <c r="F196" s="3">
        <f t="shared" si="6"/>
        <v>2478.69585</v>
      </c>
      <c r="G196" s="3">
        <f t="shared" si="7"/>
        <v>-98217.86589</v>
      </c>
    </row>
    <row r="197">
      <c r="A197" s="3">
        <f t="shared" si="3"/>
        <v>15.33333333</v>
      </c>
      <c r="B197" s="1">
        <f t="shared" si="1"/>
        <v>12</v>
      </c>
      <c r="C197" s="1">
        <f t="shared" ref="C197:D197" si="189">C196</f>
        <v>0.06</v>
      </c>
      <c r="D197" s="1">
        <f t="shared" si="189"/>
        <v>2000</v>
      </c>
      <c r="E197" s="3">
        <f t="shared" si="5"/>
        <v>-491.0893295</v>
      </c>
      <c r="F197" s="3">
        <f t="shared" si="6"/>
        <v>2491.089329</v>
      </c>
      <c r="G197" s="3">
        <f t="shared" si="7"/>
        <v>-100708.9552</v>
      </c>
    </row>
    <row r="198">
      <c r="A198" s="3">
        <f t="shared" si="3"/>
        <v>15.41666667</v>
      </c>
      <c r="B198" s="1">
        <f t="shared" si="1"/>
        <v>12</v>
      </c>
      <c r="C198" s="1">
        <f t="shared" ref="C198:D198" si="190">C197</f>
        <v>0.06</v>
      </c>
      <c r="D198" s="1">
        <f t="shared" si="190"/>
        <v>2000</v>
      </c>
      <c r="E198" s="3">
        <f t="shared" si="5"/>
        <v>-503.5447761</v>
      </c>
      <c r="F198" s="3">
        <f t="shared" si="6"/>
        <v>2503.544776</v>
      </c>
      <c r="G198" s="3">
        <f t="shared" si="7"/>
        <v>-103212.5</v>
      </c>
    </row>
    <row r="199">
      <c r="A199" s="3">
        <f t="shared" si="3"/>
        <v>15.5</v>
      </c>
      <c r="B199" s="1">
        <f t="shared" si="1"/>
        <v>12</v>
      </c>
      <c r="C199" s="1">
        <f t="shared" ref="C199:D199" si="191">C198</f>
        <v>0.06</v>
      </c>
      <c r="D199" s="1">
        <f t="shared" si="191"/>
        <v>2000</v>
      </c>
      <c r="E199" s="3">
        <f t="shared" si="5"/>
        <v>-516.0625</v>
      </c>
      <c r="F199" s="3">
        <f t="shared" si="6"/>
        <v>2516.0625</v>
      </c>
      <c r="G199" s="3">
        <f t="shared" si="7"/>
        <v>-105728.5625</v>
      </c>
    </row>
    <row r="200">
      <c r="A200" s="3">
        <f t="shared" si="3"/>
        <v>15.58333333</v>
      </c>
      <c r="B200" s="1">
        <f t="shared" si="1"/>
        <v>12</v>
      </c>
      <c r="C200" s="1">
        <f t="shared" ref="C200:D200" si="192">C199</f>
        <v>0.06</v>
      </c>
      <c r="D200" s="1">
        <f t="shared" si="192"/>
        <v>2000</v>
      </c>
      <c r="E200" s="3">
        <f t="shared" si="5"/>
        <v>-528.6428125</v>
      </c>
      <c r="F200" s="3">
        <f t="shared" si="6"/>
        <v>2528.642812</v>
      </c>
      <c r="G200" s="3">
        <f t="shared" si="7"/>
        <v>-108257.2053</v>
      </c>
    </row>
    <row r="201">
      <c r="A201" s="3">
        <f t="shared" si="3"/>
        <v>15.66666667</v>
      </c>
      <c r="B201" s="1">
        <f t="shared" si="1"/>
        <v>12</v>
      </c>
      <c r="C201" s="1">
        <f t="shared" ref="C201:D201" si="193">C200</f>
        <v>0.06</v>
      </c>
      <c r="D201" s="1">
        <f t="shared" si="193"/>
        <v>2000</v>
      </c>
      <c r="E201" s="3">
        <f t="shared" si="5"/>
        <v>-541.2860265</v>
      </c>
      <c r="F201" s="3">
        <f t="shared" si="6"/>
        <v>2541.286027</v>
      </c>
      <c r="G201" s="3">
        <f t="shared" si="7"/>
        <v>-110798.4913</v>
      </c>
    </row>
    <row r="202">
      <c r="A202" s="3">
        <f t="shared" si="3"/>
        <v>15.75</v>
      </c>
      <c r="B202" s="1">
        <f t="shared" si="1"/>
        <v>12</v>
      </c>
      <c r="C202" s="1">
        <f t="shared" ref="C202:D202" si="194">C201</f>
        <v>0.06</v>
      </c>
      <c r="D202" s="1">
        <f t="shared" si="194"/>
        <v>2000</v>
      </c>
      <c r="E202" s="3">
        <f t="shared" si="5"/>
        <v>-553.9924567</v>
      </c>
      <c r="F202" s="3">
        <f t="shared" si="6"/>
        <v>2553.992457</v>
      </c>
      <c r="G202" s="3">
        <f t="shared" si="7"/>
        <v>-113352.4838</v>
      </c>
    </row>
    <row r="203">
      <c r="A203" s="3">
        <f t="shared" si="3"/>
        <v>15.83333333</v>
      </c>
      <c r="B203" s="1">
        <f t="shared" si="1"/>
        <v>12</v>
      </c>
      <c r="C203" s="1">
        <f t="shared" ref="C203:D203" si="195">C202</f>
        <v>0.06</v>
      </c>
      <c r="D203" s="1">
        <f t="shared" si="195"/>
        <v>2000</v>
      </c>
      <c r="E203" s="3">
        <f t="shared" si="5"/>
        <v>-566.762419</v>
      </c>
      <c r="F203" s="3">
        <f t="shared" si="6"/>
        <v>2566.762419</v>
      </c>
      <c r="G203" s="3">
        <f t="shared" si="7"/>
        <v>-115919.2462</v>
      </c>
    </row>
    <row r="204">
      <c r="A204" s="3">
        <f t="shared" si="3"/>
        <v>15.91666667</v>
      </c>
      <c r="B204" s="1">
        <f t="shared" si="1"/>
        <v>12</v>
      </c>
      <c r="C204" s="1">
        <f t="shared" ref="C204:D204" si="196">C203</f>
        <v>0.06</v>
      </c>
      <c r="D204" s="1">
        <f t="shared" si="196"/>
        <v>2000</v>
      </c>
      <c r="E204" s="3">
        <f t="shared" si="5"/>
        <v>-579.5962311</v>
      </c>
      <c r="F204" s="3">
        <f t="shared" si="6"/>
        <v>2579.596231</v>
      </c>
      <c r="G204" s="3">
        <f t="shared" si="7"/>
        <v>-118498.8424</v>
      </c>
    </row>
    <row r="205">
      <c r="A205" s="3">
        <f t="shared" si="3"/>
        <v>16</v>
      </c>
      <c r="B205" s="1">
        <f t="shared" si="1"/>
        <v>12</v>
      </c>
      <c r="C205" s="1">
        <f t="shared" ref="C205:D205" si="197">C204</f>
        <v>0.06</v>
      </c>
      <c r="D205" s="1">
        <f t="shared" si="197"/>
        <v>2000</v>
      </c>
      <c r="E205" s="3">
        <f t="shared" si="5"/>
        <v>-592.4942122</v>
      </c>
      <c r="F205" s="3">
        <f t="shared" si="6"/>
        <v>2592.494212</v>
      </c>
      <c r="G205" s="3">
        <f t="shared" si="7"/>
        <v>-121091.3367</v>
      </c>
    </row>
    <row r="206">
      <c r="A206" s="3">
        <f t="shared" si="3"/>
        <v>16.08333333</v>
      </c>
      <c r="B206" s="1">
        <f t="shared" si="1"/>
        <v>12</v>
      </c>
      <c r="C206" s="1">
        <f t="shared" ref="C206:D206" si="198">C205</f>
        <v>0.06</v>
      </c>
      <c r="D206" s="1">
        <f t="shared" si="198"/>
        <v>2000</v>
      </c>
      <c r="E206" s="3">
        <f t="shared" si="5"/>
        <v>-605.4566833</v>
      </c>
      <c r="F206" s="3">
        <f t="shared" si="6"/>
        <v>2605.456683</v>
      </c>
      <c r="G206" s="3">
        <f t="shared" si="7"/>
        <v>-123696.7933</v>
      </c>
    </row>
    <row r="207">
      <c r="A207" s="3">
        <f t="shared" si="3"/>
        <v>16.16666667</v>
      </c>
      <c r="B207" s="1">
        <f t="shared" si="1"/>
        <v>12</v>
      </c>
      <c r="C207" s="1">
        <f t="shared" ref="C207:D207" si="199">C206</f>
        <v>0.06</v>
      </c>
      <c r="D207" s="1">
        <f t="shared" si="199"/>
        <v>2000</v>
      </c>
      <c r="E207" s="3">
        <f t="shared" si="5"/>
        <v>-618.4839667</v>
      </c>
      <c r="F207" s="3">
        <f t="shared" si="6"/>
        <v>2618.483967</v>
      </c>
      <c r="G207" s="3">
        <f t="shared" si="7"/>
        <v>-126315.2773</v>
      </c>
    </row>
    <row r="208">
      <c r="A208" s="3">
        <f t="shared" si="3"/>
        <v>16.25</v>
      </c>
      <c r="B208" s="1">
        <f t="shared" si="1"/>
        <v>12</v>
      </c>
      <c r="C208" s="1">
        <f t="shared" ref="C208:D208" si="200">C207</f>
        <v>0.06</v>
      </c>
      <c r="D208" s="1">
        <f t="shared" si="200"/>
        <v>2000</v>
      </c>
      <c r="E208" s="3">
        <f t="shared" si="5"/>
        <v>-631.5763865</v>
      </c>
      <c r="F208" s="3">
        <f t="shared" si="6"/>
        <v>2631.576387</v>
      </c>
      <c r="G208" s="3">
        <f t="shared" si="7"/>
        <v>-128946.8537</v>
      </c>
    </row>
    <row r="209">
      <c r="A209" s="3">
        <f t="shared" si="3"/>
        <v>16.33333333</v>
      </c>
      <c r="B209" s="1">
        <f t="shared" si="1"/>
        <v>12</v>
      </c>
      <c r="C209" s="1">
        <f t="shared" ref="C209:D209" si="201">C208</f>
        <v>0.06</v>
      </c>
      <c r="D209" s="1">
        <f t="shared" si="201"/>
        <v>2000</v>
      </c>
      <c r="E209" s="3">
        <f t="shared" si="5"/>
        <v>-644.7342685</v>
      </c>
      <c r="F209" s="3">
        <f t="shared" si="6"/>
        <v>2644.734268</v>
      </c>
      <c r="G209" s="3">
        <f t="shared" si="7"/>
        <v>-131591.588</v>
      </c>
    </row>
    <row r="210">
      <c r="A210" s="3">
        <f t="shared" si="3"/>
        <v>16.41666667</v>
      </c>
      <c r="B210" s="1">
        <f t="shared" si="1"/>
        <v>12</v>
      </c>
      <c r="C210" s="1">
        <f t="shared" ref="C210:D210" si="202">C209</f>
        <v>0.06</v>
      </c>
      <c r="D210" s="1">
        <f t="shared" si="202"/>
        <v>2000</v>
      </c>
      <c r="E210" s="3">
        <f t="shared" si="5"/>
        <v>-657.9579398</v>
      </c>
      <c r="F210" s="3">
        <f t="shared" si="6"/>
        <v>2657.95794</v>
      </c>
      <c r="G210" s="3">
        <f t="shared" si="7"/>
        <v>-134249.5459</v>
      </c>
    </row>
    <row r="211">
      <c r="A211" s="3">
        <f t="shared" si="3"/>
        <v>16.5</v>
      </c>
      <c r="B211" s="1">
        <f t="shared" si="1"/>
        <v>12</v>
      </c>
      <c r="C211" s="1">
        <f t="shared" ref="C211:D211" si="203">C210</f>
        <v>0.06</v>
      </c>
      <c r="D211" s="1">
        <f t="shared" si="203"/>
        <v>2000</v>
      </c>
      <c r="E211" s="3">
        <f t="shared" si="5"/>
        <v>-671.2477295</v>
      </c>
      <c r="F211" s="3">
        <f t="shared" si="6"/>
        <v>2671.24773</v>
      </c>
      <c r="G211" s="3">
        <f t="shared" si="7"/>
        <v>-136920.7936</v>
      </c>
    </row>
    <row r="212">
      <c r="A212" s="3">
        <f t="shared" si="3"/>
        <v>16.58333333</v>
      </c>
      <c r="B212" s="1">
        <f t="shared" si="1"/>
        <v>12</v>
      </c>
      <c r="C212" s="1">
        <f t="shared" ref="C212:D212" si="204">C211</f>
        <v>0.06</v>
      </c>
      <c r="D212" s="1">
        <f t="shared" si="204"/>
        <v>2000</v>
      </c>
      <c r="E212" s="3">
        <f t="shared" si="5"/>
        <v>-684.6039681</v>
      </c>
      <c r="F212" s="3">
        <f t="shared" si="6"/>
        <v>2684.603968</v>
      </c>
      <c r="G212" s="3">
        <f t="shared" si="7"/>
        <v>-139605.3976</v>
      </c>
    </row>
    <row r="213">
      <c r="A213" s="3">
        <f t="shared" si="3"/>
        <v>16.66666667</v>
      </c>
      <c r="B213" s="1">
        <f t="shared" si="1"/>
        <v>12</v>
      </c>
      <c r="C213" s="1">
        <f t="shared" ref="C213:D213" si="205">C212</f>
        <v>0.06</v>
      </c>
      <c r="D213" s="1">
        <f t="shared" si="205"/>
        <v>2000</v>
      </c>
      <c r="E213" s="3">
        <f t="shared" si="5"/>
        <v>-698.026988</v>
      </c>
      <c r="F213" s="3">
        <f t="shared" si="6"/>
        <v>2698.026988</v>
      </c>
      <c r="G213" s="3">
        <f t="shared" si="7"/>
        <v>-142303.4246</v>
      </c>
    </row>
    <row r="214">
      <c r="A214" s="3">
        <f t="shared" si="3"/>
        <v>16.75</v>
      </c>
      <c r="B214" s="1">
        <f t="shared" si="1"/>
        <v>12</v>
      </c>
      <c r="C214" s="1">
        <f t="shared" ref="C214:D214" si="206">C213</f>
        <v>0.06</v>
      </c>
      <c r="D214" s="1">
        <f t="shared" si="206"/>
        <v>2000</v>
      </c>
      <c r="E214" s="3">
        <f t="shared" si="5"/>
        <v>-711.5171229</v>
      </c>
      <c r="F214" s="3">
        <f t="shared" si="6"/>
        <v>2711.517123</v>
      </c>
      <c r="G214" s="3">
        <f t="shared" si="7"/>
        <v>-145014.9417</v>
      </c>
    </row>
    <row r="215">
      <c r="A215" s="3">
        <f t="shared" si="3"/>
        <v>16.83333333</v>
      </c>
      <c r="B215" s="1">
        <f t="shared" si="1"/>
        <v>12</v>
      </c>
      <c r="C215" s="1">
        <f t="shared" ref="C215:D215" si="207">C214</f>
        <v>0.06</v>
      </c>
      <c r="D215" s="1">
        <f t="shared" si="207"/>
        <v>2000</v>
      </c>
      <c r="E215" s="3">
        <f t="shared" si="5"/>
        <v>-725.0747085</v>
      </c>
      <c r="F215" s="3">
        <f t="shared" si="6"/>
        <v>2725.074709</v>
      </c>
      <c r="G215" s="3">
        <f t="shared" si="7"/>
        <v>-147740.0164</v>
      </c>
    </row>
    <row r="216">
      <c r="A216" s="3">
        <f t="shared" si="3"/>
        <v>16.91666667</v>
      </c>
      <c r="B216" s="1">
        <f t="shared" si="1"/>
        <v>12</v>
      </c>
      <c r="C216" s="1">
        <f t="shared" ref="C216:D216" si="208">C215</f>
        <v>0.06</v>
      </c>
      <c r="D216" s="1">
        <f t="shared" si="208"/>
        <v>2000</v>
      </c>
      <c r="E216" s="3">
        <f t="shared" si="5"/>
        <v>-738.7000821</v>
      </c>
      <c r="F216" s="3">
        <f t="shared" si="6"/>
        <v>2738.700082</v>
      </c>
      <c r="G216" s="3">
        <f t="shared" si="7"/>
        <v>-150478.7165</v>
      </c>
    </row>
    <row r="217">
      <c r="A217" s="3">
        <f t="shared" si="3"/>
        <v>17</v>
      </c>
      <c r="B217" s="1">
        <f t="shared" si="1"/>
        <v>12</v>
      </c>
      <c r="C217" s="1">
        <f t="shared" ref="C217:D217" si="209">C216</f>
        <v>0.06</v>
      </c>
      <c r="D217" s="1">
        <f t="shared" si="209"/>
        <v>2000</v>
      </c>
      <c r="E217" s="3">
        <f t="shared" si="5"/>
        <v>-752.3935825</v>
      </c>
      <c r="F217" s="3">
        <f t="shared" si="6"/>
        <v>2752.393582</v>
      </c>
      <c r="G217" s="3">
        <f t="shared" si="7"/>
        <v>-153231.1101</v>
      </c>
    </row>
    <row r="218">
      <c r="A218" s="3">
        <f t="shared" si="3"/>
        <v>17.08333333</v>
      </c>
      <c r="B218" s="1">
        <f t="shared" si="1"/>
        <v>12</v>
      </c>
      <c r="C218" s="1">
        <f t="shared" ref="C218:D218" si="210">C217</f>
        <v>0.06</v>
      </c>
      <c r="D218" s="1">
        <f t="shared" si="210"/>
        <v>2000</v>
      </c>
      <c r="E218" s="3">
        <f t="shared" si="5"/>
        <v>-766.1555504</v>
      </c>
      <c r="F218" s="3">
        <f t="shared" si="6"/>
        <v>2766.15555</v>
      </c>
      <c r="G218" s="3">
        <f t="shared" si="7"/>
        <v>-155997.2656</v>
      </c>
    </row>
    <row r="219">
      <c r="A219" s="3">
        <f t="shared" si="3"/>
        <v>17.16666667</v>
      </c>
      <c r="B219" s="1">
        <f t="shared" si="1"/>
        <v>12</v>
      </c>
      <c r="C219" s="1">
        <f t="shared" ref="C219:D219" si="211">C218</f>
        <v>0.06</v>
      </c>
      <c r="D219" s="1">
        <f t="shared" si="211"/>
        <v>2000</v>
      </c>
      <c r="E219" s="3">
        <f t="shared" si="5"/>
        <v>-779.9863282</v>
      </c>
      <c r="F219" s="3">
        <f t="shared" si="6"/>
        <v>2779.986328</v>
      </c>
      <c r="G219" s="3">
        <f t="shared" si="7"/>
        <v>-158777.252</v>
      </c>
    </row>
    <row r="220">
      <c r="A220" s="3">
        <f t="shared" si="3"/>
        <v>17.25</v>
      </c>
      <c r="B220" s="1">
        <f t="shared" si="1"/>
        <v>12</v>
      </c>
      <c r="C220" s="1">
        <f t="shared" ref="C220:D220" si="212">C219</f>
        <v>0.06</v>
      </c>
      <c r="D220" s="1">
        <f t="shared" si="212"/>
        <v>2000</v>
      </c>
      <c r="E220" s="3">
        <f t="shared" si="5"/>
        <v>-793.8862598</v>
      </c>
      <c r="F220" s="3">
        <f t="shared" si="6"/>
        <v>2793.88626</v>
      </c>
      <c r="G220" s="3">
        <f t="shared" si="7"/>
        <v>-161571.1382</v>
      </c>
    </row>
    <row r="221">
      <c r="A221" s="3">
        <f t="shared" si="3"/>
        <v>17.33333333</v>
      </c>
      <c r="B221" s="1">
        <f t="shared" si="1"/>
        <v>12</v>
      </c>
      <c r="C221" s="1">
        <f t="shared" ref="C221:D221" si="213">C220</f>
        <v>0.06</v>
      </c>
      <c r="D221" s="1">
        <f t="shared" si="213"/>
        <v>2000</v>
      </c>
      <c r="E221" s="3">
        <f t="shared" si="5"/>
        <v>-807.8556911</v>
      </c>
      <c r="F221" s="3">
        <f t="shared" si="6"/>
        <v>2807.855691</v>
      </c>
      <c r="G221" s="3">
        <f t="shared" si="7"/>
        <v>-164378.9939</v>
      </c>
    </row>
    <row r="222">
      <c r="A222" s="3">
        <f t="shared" si="3"/>
        <v>17.41666667</v>
      </c>
      <c r="B222" s="1">
        <f t="shared" si="1"/>
        <v>12</v>
      </c>
      <c r="C222" s="1">
        <f t="shared" ref="C222:D222" si="214">C221</f>
        <v>0.06</v>
      </c>
      <c r="D222" s="1">
        <f t="shared" si="214"/>
        <v>2000</v>
      </c>
      <c r="E222" s="3">
        <f t="shared" si="5"/>
        <v>-821.8949696</v>
      </c>
      <c r="F222" s="3">
        <f t="shared" si="6"/>
        <v>2821.89497</v>
      </c>
      <c r="G222" s="3">
        <f t="shared" si="7"/>
        <v>-167200.8889</v>
      </c>
    </row>
    <row r="223">
      <c r="A223" s="3">
        <f t="shared" si="3"/>
        <v>17.5</v>
      </c>
      <c r="B223" s="1">
        <f t="shared" si="1"/>
        <v>12</v>
      </c>
      <c r="C223" s="1">
        <f t="shared" ref="C223:D223" si="215">C222</f>
        <v>0.06</v>
      </c>
      <c r="D223" s="1">
        <f t="shared" si="215"/>
        <v>2000</v>
      </c>
      <c r="E223" s="3">
        <f t="shared" si="5"/>
        <v>-836.0044444</v>
      </c>
      <c r="F223" s="3">
        <f t="shared" si="6"/>
        <v>2836.004444</v>
      </c>
      <c r="G223" s="3">
        <f t="shared" si="7"/>
        <v>-170036.8933</v>
      </c>
    </row>
    <row r="224">
      <c r="A224" s="3">
        <f t="shared" si="3"/>
        <v>17.58333333</v>
      </c>
      <c r="B224" s="1">
        <f t="shared" si="1"/>
        <v>12</v>
      </c>
      <c r="C224" s="1">
        <f t="shared" ref="C224:D224" si="216">C223</f>
        <v>0.06</v>
      </c>
      <c r="D224" s="1">
        <f t="shared" si="216"/>
        <v>2000</v>
      </c>
      <c r="E224" s="3">
        <f t="shared" si="5"/>
        <v>-850.1844666</v>
      </c>
      <c r="F224" s="3">
        <f t="shared" si="6"/>
        <v>2850.184467</v>
      </c>
      <c r="G224" s="3">
        <f t="shared" si="7"/>
        <v>-172887.0778</v>
      </c>
    </row>
    <row r="225">
      <c r="A225" s="3">
        <f t="shared" si="3"/>
        <v>17.66666667</v>
      </c>
      <c r="B225" s="1">
        <f t="shared" si="1"/>
        <v>12</v>
      </c>
      <c r="C225" s="1">
        <f t="shared" ref="C225:D225" si="217">C224</f>
        <v>0.06</v>
      </c>
      <c r="D225" s="1">
        <f t="shared" si="217"/>
        <v>2000</v>
      </c>
      <c r="E225" s="3">
        <f t="shared" si="5"/>
        <v>-864.435389</v>
      </c>
      <c r="F225" s="3">
        <f t="shared" si="6"/>
        <v>2864.435389</v>
      </c>
      <c r="G225" s="3">
        <f t="shared" si="7"/>
        <v>-175751.5132</v>
      </c>
    </row>
    <row r="226">
      <c r="A226" s="3">
        <f t="shared" si="3"/>
        <v>17.75</v>
      </c>
      <c r="B226" s="1">
        <f t="shared" si="1"/>
        <v>12</v>
      </c>
      <c r="C226" s="1">
        <f t="shared" ref="C226:D226" si="218">C225</f>
        <v>0.06</v>
      </c>
      <c r="D226" s="1">
        <f t="shared" si="218"/>
        <v>2000</v>
      </c>
      <c r="E226" s="3">
        <f t="shared" si="5"/>
        <v>-878.7575659</v>
      </c>
      <c r="F226" s="3">
        <f t="shared" si="6"/>
        <v>2878.757566</v>
      </c>
      <c r="G226" s="3">
        <f t="shared" si="7"/>
        <v>-178630.2707</v>
      </c>
    </row>
    <row r="227">
      <c r="A227" s="3">
        <f t="shared" si="3"/>
        <v>17.83333333</v>
      </c>
      <c r="B227" s="1">
        <f t="shared" si="1"/>
        <v>12</v>
      </c>
      <c r="C227" s="1">
        <f t="shared" ref="C227:D227" si="219">C226</f>
        <v>0.06</v>
      </c>
      <c r="D227" s="1">
        <f t="shared" si="219"/>
        <v>2000</v>
      </c>
      <c r="E227" s="3">
        <f t="shared" si="5"/>
        <v>-893.1513537</v>
      </c>
      <c r="F227" s="3">
        <f t="shared" si="6"/>
        <v>2893.151354</v>
      </c>
      <c r="G227" s="3">
        <f t="shared" si="7"/>
        <v>-181523.4221</v>
      </c>
    </row>
    <row r="228">
      <c r="A228" s="3">
        <f t="shared" si="3"/>
        <v>17.91666667</v>
      </c>
      <c r="B228" s="1">
        <f t="shared" si="1"/>
        <v>12</v>
      </c>
      <c r="C228" s="1">
        <f t="shared" ref="C228:D228" si="220">C227</f>
        <v>0.06</v>
      </c>
      <c r="D228" s="1">
        <f t="shared" si="220"/>
        <v>2000</v>
      </c>
      <c r="E228" s="3">
        <f t="shared" si="5"/>
        <v>-907.6171105</v>
      </c>
      <c r="F228" s="3">
        <f t="shared" si="6"/>
        <v>2907.617111</v>
      </c>
      <c r="G228" s="3">
        <f t="shared" si="7"/>
        <v>-184431.0392</v>
      </c>
    </row>
    <row r="229">
      <c r="A229" s="3">
        <f t="shared" si="3"/>
        <v>18</v>
      </c>
      <c r="B229" s="1">
        <f t="shared" si="1"/>
        <v>12</v>
      </c>
      <c r="C229" s="1">
        <f t="shared" ref="C229:D229" si="221">C228</f>
        <v>0.06</v>
      </c>
      <c r="D229" s="1">
        <f t="shared" si="221"/>
        <v>2000</v>
      </c>
      <c r="E229" s="3">
        <f t="shared" si="5"/>
        <v>-922.1551961</v>
      </c>
      <c r="F229" s="3">
        <f t="shared" si="6"/>
        <v>2922.155196</v>
      </c>
      <c r="G229" s="3">
        <f t="shared" si="7"/>
        <v>-187353.1944</v>
      </c>
    </row>
    <row r="230">
      <c r="A230" s="3">
        <f t="shared" si="3"/>
        <v>18.08333333</v>
      </c>
      <c r="B230" s="1">
        <f t="shared" si="1"/>
        <v>12</v>
      </c>
      <c r="C230" s="1">
        <f t="shared" ref="C230:D230" si="222">C229</f>
        <v>0.06</v>
      </c>
      <c r="D230" s="1">
        <f t="shared" si="222"/>
        <v>2000</v>
      </c>
      <c r="E230" s="3">
        <f t="shared" si="5"/>
        <v>-936.765972</v>
      </c>
      <c r="F230" s="3">
        <f t="shared" si="6"/>
        <v>2936.765972</v>
      </c>
      <c r="G230" s="3">
        <f t="shared" si="7"/>
        <v>-190289.9604</v>
      </c>
    </row>
    <row r="231">
      <c r="A231" s="3">
        <f t="shared" si="3"/>
        <v>18.16666667</v>
      </c>
      <c r="B231" s="1">
        <f t="shared" si="1"/>
        <v>12</v>
      </c>
      <c r="C231" s="1">
        <f t="shared" ref="C231:D231" si="223">C230</f>
        <v>0.06</v>
      </c>
      <c r="D231" s="1">
        <f t="shared" si="223"/>
        <v>2000</v>
      </c>
      <c r="E231" s="3">
        <f t="shared" si="5"/>
        <v>-951.4498019</v>
      </c>
      <c r="F231" s="3">
        <f t="shared" si="6"/>
        <v>2951.449802</v>
      </c>
      <c r="G231" s="3">
        <f t="shared" si="7"/>
        <v>-193241.4102</v>
      </c>
    </row>
    <row r="232">
      <c r="A232" s="3">
        <f t="shared" si="3"/>
        <v>18.25</v>
      </c>
      <c r="B232" s="1">
        <f t="shared" si="1"/>
        <v>12</v>
      </c>
      <c r="C232" s="1">
        <f t="shared" ref="C232:D232" si="224">C231</f>
        <v>0.06</v>
      </c>
      <c r="D232" s="1">
        <f t="shared" si="224"/>
        <v>2000</v>
      </c>
      <c r="E232" s="3">
        <f t="shared" si="5"/>
        <v>-966.2070509</v>
      </c>
      <c r="F232" s="3">
        <f t="shared" si="6"/>
        <v>2966.207051</v>
      </c>
      <c r="G232" s="3">
        <f t="shared" si="7"/>
        <v>-196207.6172</v>
      </c>
    </row>
    <row r="233">
      <c r="A233" s="3">
        <f t="shared" si="3"/>
        <v>18.33333333</v>
      </c>
      <c r="B233" s="1">
        <f t="shared" si="1"/>
        <v>12</v>
      </c>
      <c r="C233" s="1">
        <f t="shared" ref="C233:D233" si="225">C232</f>
        <v>0.06</v>
      </c>
      <c r="D233" s="1">
        <f t="shared" si="225"/>
        <v>2000</v>
      </c>
      <c r="E233" s="3">
        <f t="shared" si="5"/>
        <v>-981.0380862</v>
      </c>
      <c r="F233" s="3">
        <f t="shared" si="6"/>
        <v>2981.038086</v>
      </c>
      <c r="G233" s="3">
        <f t="shared" si="7"/>
        <v>-199188.6553</v>
      </c>
    </row>
    <row r="234">
      <c r="A234" s="3">
        <f t="shared" si="3"/>
        <v>18.41666667</v>
      </c>
      <c r="B234" s="1">
        <f t="shared" si="1"/>
        <v>12</v>
      </c>
      <c r="C234" s="1">
        <f t="shared" ref="C234:D234" si="226">C233</f>
        <v>0.06</v>
      </c>
      <c r="D234" s="1">
        <f t="shared" si="226"/>
        <v>2000</v>
      </c>
      <c r="E234" s="3">
        <f t="shared" si="5"/>
        <v>-995.9432766</v>
      </c>
      <c r="F234" s="3">
        <f t="shared" si="6"/>
        <v>2995.943277</v>
      </c>
      <c r="G234" s="3">
        <f t="shared" si="7"/>
        <v>-202184.5986</v>
      </c>
    </row>
    <row r="235">
      <c r="A235" s="3">
        <f t="shared" si="3"/>
        <v>18.5</v>
      </c>
      <c r="B235" s="1">
        <f t="shared" si="1"/>
        <v>12</v>
      </c>
      <c r="C235" s="1">
        <f t="shared" ref="C235:D235" si="227">C234</f>
        <v>0.06</v>
      </c>
      <c r="D235" s="1">
        <f t="shared" si="227"/>
        <v>2000</v>
      </c>
      <c r="E235" s="3">
        <f t="shared" si="5"/>
        <v>-1010.922993</v>
      </c>
      <c r="F235" s="3">
        <f t="shared" si="6"/>
        <v>3010.922993</v>
      </c>
      <c r="G235" s="3">
        <f t="shared" si="7"/>
        <v>-205195.5216</v>
      </c>
    </row>
    <row r="236">
      <c r="A236" s="3">
        <f t="shared" si="3"/>
        <v>18.58333333</v>
      </c>
      <c r="B236" s="1">
        <f t="shared" si="1"/>
        <v>12</v>
      </c>
      <c r="C236" s="1">
        <f t="shared" ref="C236:D236" si="228">C235</f>
        <v>0.06</v>
      </c>
      <c r="D236" s="1">
        <f t="shared" si="228"/>
        <v>2000</v>
      </c>
      <c r="E236" s="3">
        <f t="shared" si="5"/>
        <v>-1025.977608</v>
      </c>
      <c r="F236" s="3">
        <f t="shared" si="6"/>
        <v>3025.977608</v>
      </c>
      <c r="G236" s="3">
        <f t="shared" si="7"/>
        <v>-208221.4992</v>
      </c>
    </row>
    <row r="237">
      <c r="A237" s="3">
        <f t="shared" si="3"/>
        <v>18.66666667</v>
      </c>
      <c r="B237" s="1">
        <f t="shared" si="1"/>
        <v>12</v>
      </c>
      <c r="C237" s="1">
        <f t="shared" ref="C237:D237" si="229">C236</f>
        <v>0.06</v>
      </c>
      <c r="D237" s="1">
        <f t="shared" si="229"/>
        <v>2000</v>
      </c>
      <c r="E237" s="3">
        <f t="shared" si="5"/>
        <v>-1041.107496</v>
      </c>
      <c r="F237" s="3">
        <f t="shared" si="6"/>
        <v>3041.107496</v>
      </c>
      <c r="G237" s="3">
        <f t="shared" si="7"/>
        <v>-211262.6067</v>
      </c>
    </row>
    <row r="238">
      <c r="A238" s="3">
        <f t="shared" si="3"/>
        <v>18.75</v>
      </c>
      <c r="B238" s="1">
        <f t="shared" si="1"/>
        <v>12</v>
      </c>
      <c r="C238" s="1">
        <f t="shared" ref="C238:D238" si="230">C237</f>
        <v>0.06</v>
      </c>
      <c r="D238" s="1">
        <f t="shared" si="230"/>
        <v>2000</v>
      </c>
      <c r="E238" s="3">
        <f t="shared" si="5"/>
        <v>-1056.313033</v>
      </c>
      <c r="F238" s="3">
        <f t="shared" si="6"/>
        <v>3056.313033</v>
      </c>
      <c r="G238" s="3">
        <f t="shared" si="7"/>
        <v>-214318.9197</v>
      </c>
    </row>
    <row r="239">
      <c r="A239" s="3">
        <f t="shared" si="3"/>
        <v>18.83333333</v>
      </c>
      <c r="B239" s="1">
        <f t="shared" si="1"/>
        <v>12</v>
      </c>
      <c r="C239" s="1">
        <f t="shared" ref="C239:D239" si="231">C238</f>
        <v>0.06</v>
      </c>
      <c r="D239" s="1">
        <f t="shared" si="231"/>
        <v>2000</v>
      </c>
      <c r="E239" s="3">
        <f t="shared" si="5"/>
        <v>-1071.594599</v>
      </c>
      <c r="F239" s="3">
        <f t="shared" si="6"/>
        <v>3071.594599</v>
      </c>
      <c r="G239" s="3">
        <f t="shared" si="7"/>
        <v>-217390.5143</v>
      </c>
    </row>
    <row r="240">
      <c r="A240" s="3">
        <f t="shared" si="3"/>
        <v>18.91666667</v>
      </c>
      <c r="B240" s="1">
        <f t="shared" si="1"/>
        <v>12</v>
      </c>
      <c r="C240" s="1">
        <f t="shared" ref="C240:D240" si="232">C239</f>
        <v>0.06</v>
      </c>
      <c r="D240" s="1">
        <f t="shared" si="232"/>
        <v>2000</v>
      </c>
      <c r="E240" s="3">
        <f t="shared" si="5"/>
        <v>-1086.952572</v>
      </c>
      <c r="F240" s="3">
        <f t="shared" si="6"/>
        <v>3086.952572</v>
      </c>
      <c r="G240" s="3">
        <f t="shared" si="7"/>
        <v>-220477.4669</v>
      </c>
    </row>
    <row r="241">
      <c r="A241" s="3">
        <f t="shared" si="3"/>
        <v>19</v>
      </c>
      <c r="B241" s="1">
        <f t="shared" si="1"/>
        <v>12</v>
      </c>
      <c r="C241" s="1">
        <f t="shared" ref="C241:D241" si="233">C240</f>
        <v>0.06</v>
      </c>
      <c r="D241" s="1">
        <f t="shared" si="233"/>
        <v>2000</v>
      </c>
      <c r="E241" s="3">
        <f t="shared" si="5"/>
        <v>-1102.387334</v>
      </c>
      <c r="F241" s="3">
        <f t="shared" si="6"/>
        <v>3102.387334</v>
      </c>
      <c r="G241" s="3">
        <f t="shared" si="7"/>
        <v>-223579.8542</v>
      </c>
    </row>
    <row r="242">
      <c r="A242" s="3">
        <f t="shared" si="3"/>
        <v>19.08333333</v>
      </c>
      <c r="B242" s="1">
        <f t="shared" si="1"/>
        <v>12</v>
      </c>
      <c r="C242" s="1">
        <f t="shared" ref="C242:D242" si="234">C241</f>
        <v>0.06</v>
      </c>
      <c r="D242" s="1">
        <f t="shared" si="234"/>
        <v>2000</v>
      </c>
      <c r="E242" s="3">
        <f t="shared" si="5"/>
        <v>-1117.899271</v>
      </c>
      <c r="F242" s="3">
        <f t="shared" si="6"/>
        <v>3117.899271</v>
      </c>
      <c r="G242" s="3">
        <f t="shared" si="7"/>
        <v>-226697.7535</v>
      </c>
    </row>
    <row r="243">
      <c r="A243" s="3">
        <f t="shared" si="3"/>
        <v>19.16666667</v>
      </c>
      <c r="B243" s="1">
        <f t="shared" si="1"/>
        <v>12</v>
      </c>
      <c r="C243" s="1">
        <f t="shared" ref="C243:D243" si="235">C242</f>
        <v>0.06</v>
      </c>
      <c r="D243" s="1">
        <f t="shared" si="235"/>
        <v>2000</v>
      </c>
      <c r="E243" s="3">
        <f t="shared" si="5"/>
        <v>-1133.488768</v>
      </c>
      <c r="F243" s="3">
        <f t="shared" si="6"/>
        <v>3133.488768</v>
      </c>
      <c r="G243" s="3">
        <f t="shared" si="7"/>
        <v>-229831.2423</v>
      </c>
    </row>
    <row r="244">
      <c r="A244" s="3">
        <f t="shared" si="3"/>
        <v>19.25</v>
      </c>
      <c r="B244" s="1">
        <f t="shared" si="1"/>
        <v>12</v>
      </c>
      <c r="C244" s="1">
        <f t="shared" ref="C244:D244" si="236">C243</f>
        <v>0.06</v>
      </c>
      <c r="D244" s="1">
        <f t="shared" si="236"/>
        <v>2000</v>
      </c>
      <c r="E244" s="3">
        <f t="shared" si="5"/>
        <v>-1149.156211</v>
      </c>
      <c r="F244" s="3">
        <f t="shared" si="6"/>
        <v>3149.156211</v>
      </c>
      <c r="G244" s="3">
        <f t="shared" si="7"/>
        <v>-232980.3985</v>
      </c>
    </row>
    <row r="245">
      <c r="A245" s="3">
        <f t="shared" si="3"/>
        <v>19.33333333</v>
      </c>
      <c r="B245" s="1">
        <f t="shared" si="1"/>
        <v>12</v>
      </c>
      <c r="C245" s="1">
        <f t="shared" ref="C245:D245" si="237">C244</f>
        <v>0.06</v>
      </c>
      <c r="D245" s="1">
        <f t="shared" si="237"/>
        <v>2000</v>
      </c>
      <c r="E245" s="3">
        <f t="shared" si="5"/>
        <v>-1164.901992</v>
      </c>
      <c r="F245" s="3">
        <f t="shared" si="6"/>
        <v>3164.901992</v>
      </c>
      <c r="G245" s="3">
        <f t="shared" si="7"/>
        <v>-236145.3005</v>
      </c>
    </row>
    <row r="246">
      <c r="A246" s="3">
        <f t="shared" si="3"/>
        <v>19.41666667</v>
      </c>
      <c r="B246" s="1">
        <f t="shared" si="1"/>
        <v>12</v>
      </c>
      <c r="C246" s="1">
        <f t="shared" ref="C246:D246" si="238">C245</f>
        <v>0.06</v>
      </c>
      <c r="D246" s="1">
        <f t="shared" si="238"/>
        <v>2000</v>
      </c>
      <c r="E246" s="3">
        <f t="shared" si="5"/>
        <v>-1180.726502</v>
      </c>
      <c r="F246" s="3">
        <f t="shared" si="6"/>
        <v>3180.726502</v>
      </c>
      <c r="G246" s="3">
        <f t="shared" si="7"/>
        <v>-239326.027</v>
      </c>
    </row>
    <row r="247">
      <c r="A247" s="3">
        <f t="shared" si="3"/>
        <v>19.5</v>
      </c>
      <c r="B247" s="1">
        <f t="shared" si="1"/>
        <v>12</v>
      </c>
      <c r="C247" s="1">
        <f t="shared" ref="C247:D247" si="239">C246</f>
        <v>0.06</v>
      </c>
      <c r="D247" s="1">
        <f t="shared" si="239"/>
        <v>2000</v>
      </c>
      <c r="E247" s="3">
        <f t="shared" si="5"/>
        <v>-1196.630135</v>
      </c>
      <c r="F247" s="3">
        <f t="shared" si="6"/>
        <v>3196.630135</v>
      </c>
      <c r="G247" s="3">
        <f t="shared" si="7"/>
        <v>-242522.6571</v>
      </c>
    </row>
    <row r="248">
      <c r="A248" s="3">
        <f t="shared" si="3"/>
        <v>19.58333333</v>
      </c>
      <c r="B248" s="1">
        <f t="shared" si="1"/>
        <v>12</v>
      </c>
      <c r="C248" s="1">
        <f t="shared" ref="C248:D248" si="240">C247</f>
        <v>0.06</v>
      </c>
      <c r="D248" s="1">
        <f t="shared" si="240"/>
        <v>2000</v>
      </c>
      <c r="E248" s="3">
        <f t="shared" si="5"/>
        <v>-1212.613286</v>
      </c>
      <c r="F248" s="3">
        <f t="shared" si="6"/>
        <v>3212.613286</v>
      </c>
      <c r="G248" s="3">
        <f t="shared" si="7"/>
        <v>-245735.2704</v>
      </c>
    </row>
    <row r="249">
      <c r="A249" s="3">
        <f t="shared" si="3"/>
        <v>19.66666667</v>
      </c>
      <c r="B249" s="1">
        <f t="shared" si="1"/>
        <v>12</v>
      </c>
      <c r="C249" s="1">
        <f t="shared" ref="C249:D249" si="241">C248</f>
        <v>0.06</v>
      </c>
      <c r="D249" s="1">
        <f t="shared" si="241"/>
        <v>2000</v>
      </c>
      <c r="E249" s="3">
        <f t="shared" si="5"/>
        <v>-1228.676352</v>
      </c>
      <c r="F249" s="3">
        <f t="shared" si="6"/>
        <v>3228.676352</v>
      </c>
      <c r="G249" s="3">
        <f t="shared" si="7"/>
        <v>-248963.9467</v>
      </c>
    </row>
    <row r="250">
      <c r="A250" s="3">
        <f t="shared" si="3"/>
        <v>19.75</v>
      </c>
      <c r="B250" s="1">
        <f t="shared" si="1"/>
        <v>12</v>
      </c>
      <c r="C250" s="1">
        <f t="shared" ref="C250:D250" si="242">C249</f>
        <v>0.06</v>
      </c>
      <c r="D250" s="1">
        <f t="shared" si="242"/>
        <v>2000</v>
      </c>
      <c r="E250" s="3">
        <f t="shared" si="5"/>
        <v>-1244.819734</v>
      </c>
      <c r="F250" s="3">
        <f t="shared" si="6"/>
        <v>3244.819734</v>
      </c>
      <c r="G250" s="3">
        <f t="shared" si="7"/>
        <v>-252208.7665</v>
      </c>
    </row>
    <row r="251">
      <c r="A251" s="3">
        <f t="shared" si="3"/>
        <v>19.83333333</v>
      </c>
      <c r="B251" s="1">
        <f t="shared" si="1"/>
        <v>12</v>
      </c>
      <c r="C251" s="1">
        <f t="shared" ref="C251:D251" si="243">C250</f>
        <v>0.06</v>
      </c>
      <c r="D251" s="1">
        <f t="shared" si="243"/>
        <v>2000</v>
      </c>
      <c r="E251" s="3">
        <f t="shared" si="5"/>
        <v>-1261.043832</v>
      </c>
      <c r="F251" s="3">
        <f t="shared" si="6"/>
        <v>3261.043832</v>
      </c>
      <c r="G251" s="3">
        <f t="shared" si="7"/>
        <v>-255469.8103</v>
      </c>
    </row>
    <row r="252">
      <c r="A252" s="3">
        <f t="shared" si="3"/>
        <v>19.91666667</v>
      </c>
      <c r="B252" s="1">
        <f t="shared" si="1"/>
        <v>12</v>
      </c>
      <c r="C252" s="1">
        <f t="shared" ref="C252:D252" si="244">C251</f>
        <v>0.06</v>
      </c>
      <c r="D252" s="1">
        <f t="shared" si="244"/>
        <v>2000</v>
      </c>
      <c r="E252" s="3">
        <f t="shared" si="5"/>
        <v>-1277.349052</v>
      </c>
      <c r="F252" s="3">
        <f t="shared" si="6"/>
        <v>3277.349052</v>
      </c>
      <c r="G252" s="3">
        <f t="shared" si="7"/>
        <v>-258747.1594</v>
      </c>
    </row>
    <row r="253">
      <c r="A253" s="3">
        <f t="shared" si="3"/>
        <v>20</v>
      </c>
      <c r="B253" s="1">
        <f t="shared" si="1"/>
        <v>12</v>
      </c>
      <c r="C253" s="1">
        <f t="shared" ref="C253:C292" si="245">0.06</f>
        <v>0.06</v>
      </c>
      <c r="D253" s="1">
        <f t="shared" ref="D253:D294" si="246">D252</f>
        <v>2000</v>
      </c>
      <c r="E253" s="3">
        <f t="shared" si="5"/>
        <v>-1293.735797</v>
      </c>
      <c r="F253" s="3">
        <f t="shared" si="6"/>
        <v>3293.735797</v>
      </c>
      <c r="G253" s="3">
        <f t="shared" si="7"/>
        <v>-262040.8952</v>
      </c>
    </row>
    <row r="254">
      <c r="A254" s="3">
        <f t="shared" si="3"/>
        <v>20.08333333</v>
      </c>
      <c r="B254" s="1">
        <f t="shared" si="1"/>
        <v>12</v>
      </c>
      <c r="C254" s="1">
        <f t="shared" si="245"/>
        <v>0.06</v>
      </c>
      <c r="D254" s="1">
        <f t="shared" si="246"/>
        <v>2000</v>
      </c>
      <c r="E254" s="3">
        <f t="shared" si="5"/>
        <v>-1310.204476</v>
      </c>
      <c r="F254" s="3">
        <f t="shared" si="6"/>
        <v>3310.204476</v>
      </c>
      <c r="G254" s="3">
        <f t="shared" si="7"/>
        <v>-265351.0996</v>
      </c>
    </row>
    <row r="255">
      <c r="A255" s="3">
        <f t="shared" si="3"/>
        <v>20.16666667</v>
      </c>
      <c r="B255" s="1">
        <f t="shared" si="1"/>
        <v>12</v>
      </c>
      <c r="C255" s="1">
        <f t="shared" si="245"/>
        <v>0.06</v>
      </c>
      <c r="D255" s="1">
        <f t="shared" si="246"/>
        <v>2000</v>
      </c>
      <c r="E255" s="3">
        <f t="shared" si="5"/>
        <v>-1326.755498</v>
      </c>
      <c r="F255" s="3">
        <f t="shared" si="6"/>
        <v>3326.755498</v>
      </c>
      <c r="G255" s="3">
        <f t="shared" si="7"/>
        <v>-268677.8551</v>
      </c>
    </row>
    <row r="256">
      <c r="A256" s="3">
        <f t="shared" si="3"/>
        <v>20.25</v>
      </c>
      <c r="B256" s="1">
        <f t="shared" si="1"/>
        <v>12</v>
      </c>
      <c r="C256" s="1">
        <f t="shared" si="245"/>
        <v>0.06</v>
      </c>
      <c r="D256" s="1">
        <f t="shared" si="246"/>
        <v>2000</v>
      </c>
      <c r="E256" s="3">
        <f t="shared" si="5"/>
        <v>-1343.389276</v>
      </c>
      <c r="F256" s="3">
        <f t="shared" si="6"/>
        <v>3343.389276</v>
      </c>
      <c r="G256" s="3">
        <f t="shared" si="7"/>
        <v>-272021.2444</v>
      </c>
    </row>
    <row r="257">
      <c r="A257" s="3">
        <f t="shared" si="3"/>
        <v>20.33333333</v>
      </c>
      <c r="B257" s="1">
        <f t="shared" si="1"/>
        <v>12</v>
      </c>
      <c r="C257" s="1">
        <f t="shared" si="245"/>
        <v>0.06</v>
      </c>
      <c r="D257" s="1">
        <f t="shared" si="246"/>
        <v>2000</v>
      </c>
      <c r="E257" s="3">
        <f t="shared" si="5"/>
        <v>-1360.106222</v>
      </c>
      <c r="F257" s="3">
        <f t="shared" si="6"/>
        <v>3360.106222</v>
      </c>
      <c r="G257" s="3">
        <f t="shared" si="7"/>
        <v>-275381.3506</v>
      </c>
    </row>
    <row r="258">
      <c r="A258" s="3">
        <f t="shared" si="3"/>
        <v>20.41666667</v>
      </c>
      <c r="B258" s="1">
        <f t="shared" si="1"/>
        <v>12</v>
      </c>
      <c r="C258" s="1">
        <f t="shared" si="245"/>
        <v>0.06</v>
      </c>
      <c r="D258" s="1">
        <f t="shared" si="246"/>
        <v>2000</v>
      </c>
      <c r="E258" s="3">
        <f t="shared" si="5"/>
        <v>-1376.906753</v>
      </c>
      <c r="F258" s="3">
        <f t="shared" si="6"/>
        <v>3376.906753</v>
      </c>
      <c r="G258" s="3">
        <f t="shared" si="7"/>
        <v>-278758.2574</v>
      </c>
    </row>
    <row r="259">
      <c r="A259" s="3">
        <f t="shared" si="3"/>
        <v>20.5</v>
      </c>
      <c r="B259" s="1">
        <f t="shared" si="1"/>
        <v>12</v>
      </c>
      <c r="C259" s="1">
        <f t="shared" si="245"/>
        <v>0.06</v>
      </c>
      <c r="D259" s="1">
        <f t="shared" si="246"/>
        <v>2000</v>
      </c>
      <c r="E259" s="3">
        <f t="shared" si="5"/>
        <v>-1393.791287</v>
      </c>
      <c r="F259" s="3">
        <f t="shared" si="6"/>
        <v>3393.791287</v>
      </c>
      <c r="G259" s="3">
        <f t="shared" si="7"/>
        <v>-282152.0487</v>
      </c>
    </row>
    <row r="260">
      <c r="A260" s="3">
        <f t="shared" si="3"/>
        <v>20.58333333</v>
      </c>
      <c r="B260" s="1">
        <f t="shared" si="1"/>
        <v>12</v>
      </c>
      <c r="C260" s="1">
        <f t="shared" si="245"/>
        <v>0.06</v>
      </c>
      <c r="D260" s="1">
        <f t="shared" si="246"/>
        <v>2000</v>
      </c>
      <c r="E260" s="3">
        <f t="shared" si="5"/>
        <v>-1410.760243</v>
      </c>
      <c r="F260" s="3">
        <f t="shared" si="6"/>
        <v>3410.760243</v>
      </c>
      <c r="G260" s="3">
        <f t="shared" si="7"/>
        <v>-285562.8089</v>
      </c>
    </row>
    <row r="261">
      <c r="A261" s="3">
        <f t="shared" si="3"/>
        <v>20.66666667</v>
      </c>
      <c r="B261" s="1">
        <f t="shared" si="1"/>
        <v>12</v>
      </c>
      <c r="C261" s="1">
        <f t="shared" si="245"/>
        <v>0.06</v>
      </c>
      <c r="D261" s="1">
        <f t="shared" si="246"/>
        <v>2000</v>
      </c>
      <c r="E261" s="3">
        <f t="shared" si="5"/>
        <v>-1427.814045</v>
      </c>
      <c r="F261" s="3">
        <f t="shared" si="6"/>
        <v>3427.814045</v>
      </c>
      <c r="G261" s="3">
        <f t="shared" si="7"/>
        <v>-288990.623</v>
      </c>
    </row>
    <row r="262">
      <c r="A262" s="3">
        <f t="shared" si="3"/>
        <v>20.75</v>
      </c>
      <c r="B262" s="1">
        <f t="shared" si="1"/>
        <v>12</v>
      </c>
      <c r="C262" s="1">
        <f t="shared" si="245"/>
        <v>0.06</v>
      </c>
      <c r="D262" s="1">
        <f t="shared" si="246"/>
        <v>2000</v>
      </c>
      <c r="E262" s="3">
        <f t="shared" si="5"/>
        <v>-1444.953115</v>
      </c>
      <c r="F262" s="3">
        <f t="shared" si="6"/>
        <v>3444.953115</v>
      </c>
      <c r="G262" s="3">
        <f t="shared" si="7"/>
        <v>-292435.5761</v>
      </c>
    </row>
    <row r="263">
      <c r="A263" s="3">
        <f t="shared" si="3"/>
        <v>20.83333333</v>
      </c>
      <c r="B263" s="1">
        <f t="shared" si="1"/>
        <v>12</v>
      </c>
      <c r="C263" s="1">
        <f t="shared" si="245"/>
        <v>0.06</v>
      </c>
      <c r="D263" s="1">
        <f t="shared" si="246"/>
        <v>2000</v>
      </c>
      <c r="E263" s="3">
        <f t="shared" si="5"/>
        <v>-1462.17788</v>
      </c>
      <c r="F263" s="3">
        <f t="shared" si="6"/>
        <v>3462.17788</v>
      </c>
      <c r="G263" s="3">
        <f t="shared" si="7"/>
        <v>-295897.754</v>
      </c>
    </row>
    <row r="264">
      <c r="A264" s="3">
        <f t="shared" si="3"/>
        <v>20.91666667</v>
      </c>
      <c r="B264" s="1">
        <f t="shared" si="1"/>
        <v>12</v>
      </c>
      <c r="C264" s="1">
        <f t="shared" si="245"/>
        <v>0.06</v>
      </c>
      <c r="D264" s="1">
        <f t="shared" si="246"/>
        <v>2000</v>
      </c>
      <c r="E264" s="3">
        <f t="shared" si="5"/>
        <v>-1479.48877</v>
      </c>
      <c r="F264" s="3">
        <f t="shared" si="6"/>
        <v>3479.48877</v>
      </c>
      <c r="G264" s="3">
        <f t="shared" si="7"/>
        <v>-299377.2427</v>
      </c>
    </row>
    <row r="265">
      <c r="A265" s="3">
        <f t="shared" si="3"/>
        <v>21</v>
      </c>
      <c r="B265" s="1">
        <f t="shared" si="1"/>
        <v>12</v>
      </c>
      <c r="C265" s="1">
        <f t="shared" si="245"/>
        <v>0.06</v>
      </c>
      <c r="D265" s="1">
        <f t="shared" si="246"/>
        <v>2000</v>
      </c>
      <c r="E265" s="3">
        <f t="shared" si="5"/>
        <v>-1496.886214</v>
      </c>
      <c r="F265" s="3">
        <f t="shared" si="6"/>
        <v>3496.886214</v>
      </c>
      <c r="G265" s="3">
        <f t="shared" si="7"/>
        <v>-302874.1289</v>
      </c>
    </row>
    <row r="266">
      <c r="A266" s="3">
        <f t="shared" si="3"/>
        <v>21.08333333</v>
      </c>
      <c r="B266" s="1">
        <f t="shared" si="1"/>
        <v>12</v>
      </c>
      <c r="C266" s="1">
        <f t="shared" si="245"/>
        <v>0.06</v>
      </c>
      <c r="D266" s="1">
        <f t="shared" si="246"/>
        <v>2000</v>
      </c>
      <c r="E266" s="3">
        <f t="shared" si="5"/>
        <v>-1514.370645</v>
      </c>
      <c r="F266" s="3">
        <f t="shared" si="6"/>
        <v>3514.370645</v>
      </c>
      <c r="G266" s="3">
        <f t="shared" si="7"/>
        <v>-306388.4996</v>
      </c>
    </row>
    <row r="267">
      <c r="A267" s="3">
        <f t="shared" si="3"/>
        <v>21.16666667</v>
      </c>
      <c r="B267" s="1">
        <f t="shared" si="1"/>
        <v>12</v>
      </c>
      <c r="C267" s="1">
        <f t="shared" si="245"/>
        <v>0.06</v>
      </c>
      <c r="D267" s="1">
        <f t="shared" si="246"/>
        <v>2000</v>
      </c>
      <c r="E267" s="3">
        <f t="shared" si="5"/>
        <v>-1531.942498</v>
      </c>
      <c r="F267" s="3">
        <f t="shared" si="6"/>
        <v>3531.942498</v>
      </c>
      <c r="G267" s="3">
        <f t="shared" si="7"/>
        <v>-309920.4421</v>
      </c>
    </row>
    <row r="268">
      <c r="A268" s="3">
        <f t="shared" si="3"/>
        <v>21.25</v>
      </c>
      <c r="B268" s="1">
        <f t="shared" si="1"/>
        <v>12</v>
      </c>
      <c r="C268" s="1">
        <f t="shared" si="245"/>
        <v>0.06</v>
      </c>
      <c r="D268" s="1">
        <f t="shared" si="246"/>
        <v>2000</v>
      </c>
      <c r="E268" s="3">
        <f t="shared" si="5"/>
        <v>-1549.60221</v>
      </c>
      <c r="F268" s="3">
        <f t="shared" si="6"/>
        <v>3549.60221</v>
      </c>
      <c r="G268" s="3">
        <f t="shared" si="7"/>
        <v>-313470.0443</v>
      </c>
    </row>
    <row r="269">
      <c r="A269" s="3">
        <f t="shared" si="3"/>
        <v>21.33333333</v>
      </c>
      <c r="B269" s="1">
        <f t="shared" si="1"/>
        <v>12</v>
      </c>
      <c r="C269" s="1">
        <f t="shared" si="245"/>
        <v>0.06</v>
      </c>
      <c r="D269" s="1">
        <f t="shared" si="246"/>
        <v>2000</v>
      </c>
      <c r="E269" s="3">
        <f t="shared" si="5"/>
        <v>-1567.350221</v>
      </c>
      <c r="F269" s="3">
        <f t="shared" si="6"/>
        <v>3567.350221</v>
      </c>
      <c r="G269" s="3">
        <f t="shared" si="7"/>
        <v>-317037.3945</v>
      </c>
    </row>
    <row r="270">
      <c r="A270" s="3">
        <f t="shared" si="3"/>
        <v>21.41666667</v>
      </c>
      <c r="B270" s="1">
        <f t="shared" si="1"/>
        <v>12</v>
      </c>
      <c r="C270" s="1">
        <f t="shared" si="245"/>
        <v>0.06</v>
      </c>
      <c r="D270" s="1">
        <f t="shared" si="246"/>
        <v>2000</v>
      </c>
      <c r="E270" s="3">
        <f t="shared" si="5"/>
        <v>-1585.186973</v>
      </c>
      <c r="F270" s="3">
        <f t="shared" si="6"/>
        <v>3585.186973</v>
      </c>
      <c r="G270" s="3">
        <f t="shared" si="7"/>
        <v>-320622.5815</v>
      </c>
    </row>
    <row r="271">
      <c r="A271" s="3">
        <f t="shared" si="3"/>
        <v>21.5</v>
      </c>
      <c r="B271" s="1">
        <f t="shared" si="1"/>
        <v>12</v>
      </c>
      <c r="C271" s="1">
        <f t="shared" si="245"/>
        <v>0.06</v>
      </c>
      <c r="D271" s="1">
        <f t="shared" si="246"/>
        <v>2000</v>
      </c>
      <c r="E271" s="3">
        <f t="shared" si="5"/>
        <v>-1603.112907</v>
      </c>
      <c r="F271" s="3">
        <f t="shared" si="6"/>
        <v>3603.112907</v>
      </c>
      <c r="G271" s="3">
        <f t="shared" si="7"/>
        <v>-324225.6944</v>
      </c>
    </row>
    <row r="272">
      <c r="A272" s="3">
        <f t="shared" si="3"/>
        <v>21.58333333</v>
      </c>
      <c r="B272" s="1">
        <f t="shared" si="1"/>
        <v>12</v>
      </c>
      <c r="C272" s="1">
        <f t="shared" si="245"/>
        <v>0.06</v>
      </c>
      <c r="D272" s="1">
        <f t="shared" si="246"/>
        <v>2000</v>
      </c>
      <c r="E272" s="3">
        <f t="shared" si="5"/>
        <v>-1621.128472</v>
      </c>
      <c r="F272" s="3">
        <f t="shared" si="6"/>
        <v>3621.128472</v>
      </c>
      <c r="G272" s="3">
        <f t="shared" si="7"/>
        <v>-327846.8229</v>
      </c>
    </row>
    <row r="273">
      <c r="A273" s="3">
        <f t="shared" si="3"/>
        <v>21.66666667</v>
      </c>
      <c r="B273" s="1">
        <f t="shared" si="1"/>
        <v>12</v>
      </c>
      <c r="C273" s="1">
        <f t="shared" si="245"/>
        <v>0.06</v>
      </c>
      <c r="D273" s="1">
        <f t="shared" si="246"/>
        <v>2000</v>
      </c>
      <c r="E273" s="3">
        <f t="shared" si="5"/>
        <v>-1639.234114</v>
      </c>
      <c r="F273" s="3">
        <f t="shared" si="6"/>
        <v>3639.234114</v>
      </c>
      <c r="G273" s="3">
        <f t="shared" si="7"/>
        <v>-331486.057</v>
      </c>
    </row>
    <row r="274">
      <c r="A274" s="3">
        <f t="shared" si="3"/>
        <v>21.75</v>
      </c>
      <c r="B274" s="1">
        <f t="shared" si="1"/>
        <v>12</v>
      </c>
      <c r="C274" s="1">
        <f t="shared" si="245"/>
        <v>0.06</v>
      </c>
      <c r="D274" s="1">
        <f t="shared" si="246"/>
        <v>2000</v>
      </c>
      <c r="E274" s="3">
        <f t="shared" si="5"/>
        <v>-1657.430285</v>
      </c>
      <c r="F274" s="3">
        <f t="shared" si="6"/>
        <v>3657.430285</v>
      </c>
      <c r="G274" s="3">
        <f t="shared" si="7"/>
        <v>-335143.4873</v>
      </c>
    </row>
    <row r="275">
      <c r="A275" s="3">
        <f t="shared" si="3"/>
        <v>21.83333333</v>
      </c>
      <c r="B275" s="1">
        <f t="shared" si="1"/>
        <v>12</v>
      </c>
      <c r="C275" s="1">
        <f t="shared" si="245"/>
        <v>0.06</v>
      </c>
      <c r="D275" s="1">
        <f t="shared" si="246"/>
        <v>2000</v>
      </c>
      <c r="E275" s="3">
        <f t="shared" si="5"/>
        <v>-1675.717436</v>
      </c>
      <c r="F275" s="3">
        <f t="shared" si="6"/>
        <v>3675.717436</v>
      </c>
      <c r="G275" s="3">
        <f t="shared" si="7"/>
        <v>-338819.2047</v>
      </c>
    </row>
    <row r="276">
      <c r="A276" s="3">
        <f t="shared" si="3"/>
        <v>21.91666667</v>
      </c>
      <c r="B276" s="1">
        <f t="shared" si="1"/>
        <v>12</v>
      </c>
      <c r="C276" s="1">
        <f t="shared" si="245"/>
        <v>0.06</v>
      </c>
      <c r="D276" s="1">
        <f t="shared" si="246"/>
        <v>2000</v>
      </c>
      <c r="E276" s="3">
        <f t="shared" si="5"/>
        <v>-1694.096024</v>
      </c>
      <c r="F276" s="3">
        <f t="shared" si="6"/>
        <v>3694.096024</v>
      </c>
      <c r="G276" s="3">
        <f t="shared" si="7"/>
        <v>-342513.3007</v>
      </c>
    </row>
    <row r="277">
      <c r="A277" s="3">
        <f t="shared" si="3"/>
        <v>22</v>
      </c>
      <c r="B277" s="1">
        <f t="shared" si="1"/>
        <v>12</v>
      </c>
      <c r="C277" s="1">
        <f t="shared" si="245"/>
        <v>0.06</v>
      </c>
      <c r="D277" s="1">
        <f t="shared" si="246"/>
        <v>2000</v>
      </c>
      <c r="E277" s="3">
        <f t="shared" si="5"/>
        <v>-1712.566504</v>
      </c>
      <c r="F277" s="3">
        <f t="shared" si="6"/>
        <v>3712.566504</v>
      </c>
      <c r="G277" s="3">
        <f t="shared" si="7"/>
        <v>-346225.8672</v>
      </c>
    </row>
    <row r="278">
      <c r="A278" s="3">
        <f t="shared" si="3"/>
        <v>22.08333333</v>
      </c>
      <c r="B278" s="1">
        <f t="shared" si="1"/>
        <v>12</v>
      </c>
      <c r="C278" s="1">
        <f t="shared" si="245"/>
        <v>0.06</v>
      </c>
      <c r="D278" s="1">
        <f t="shared" si="246"/>
        <v>2000</v>
      </c>
      <c r="E278" s="3">
        <f t="shared" si="5"/>
        <v>-1731.129336</v>
      </c>
      <c r="F278" s="3">
        <f t="shared" si="6"/>
        <v>3731.129336</v>
      </c>
      <c r="G278" s="3">
        <f t="shared" si="7"/>
        <v>-349956.9966</v>
      </c>
    </row>
    <row r="279">
      <c r="A279" s="3">
        <f t="shared" si="3"/>
        <v>22.16666667</v>
      </c>
      <c r="B279" s="1">
        <f t="shared" si="1"/>
        <v>12</v>
      </c>
      <c r="C279" s="1">
        <f t="shared" si="245"/>
        <v>0.06</v>
      </c>
      <c r="D279" s="1">
        <f t="shared" si="246"/>
        <v>2000</v>
      </c>
      <c r="E279" s="3">
        <f t="shared" si="5"/>
        <v>-1749.784983</v>
      </c>
      <c r="F279" s="3">
        <f t="shared" si="6"/>
        <v>3749.784983</v>
      </c>
      <c r="G279" s="3">
        <f t="shared" si="7"/>
        <v>-353706.7815</v>
      </c>
    </row>
    <row r="280">
      <c r="A280" s="3">
        <f t="shared" si="3"/>
        <v>22.25</v>
      </c>
      <c r="B280" s="1">
        <f t="shared" si="1"/>
        <v>12</v>
      </c>
      <c r="C280" s="1">
        <f t="shared" si="245"/>
        <v>0.06</v>
      </c>
      <c r="D280" s="1">
        <f t="shared" si="246"/>
        <v>2000</v>
      </c>
      <c r="E280" s="3">
        <f t="shared" si="5"/>
        <v>-1768.533908</v>
      </c>
      <c r="F280" s="3">
        <f t="shared" si="6"/>
        <v>3768.533908</v>
      </c>
      <c r="G280" s="3">
        <f t="shared" si="7"/>
        <v>-357475.3155</v>
      </c>
    </row>
    <row r="281">
      <c r="A281" s="3">
        <f t="shared" si="3"/>
        <v>22.33333333</v>
      </c>
      <c r="B281" s="1">
        <f t="shared" si="1"/>
        <v>12</v>
      </c>
      <c r="C281" s="1">
        <f t="shared" si="245"/>
        <v>0.06</v>
      </c>
      <c r="D281" s="1">
        <f t="shared" si="246"/>
        <v>2000</v>
      </c>
      <c r="E281" s="3">
        <f t="shared" si="5"/>
        <v>-1787.376577</v>
      </c>
      <c r="F281" s="3">
        <f t="shared" si="6"/>
        <v>3787.376577</v>
      </c>
      <c r="G281" s="3">
        <f t="shared" si="7"/>
        <v>-361262.692</v>
      </c>
    </row>
    <row r="282">
      <c r="A282" s="3">
        <f t="shared" si="3"/>
        <v>22.41666667</v>
      </c>
      <c r="B282" s="1">
        <f t="shared" si="1"/>
        <v>12</v>
      </c>
      <c r="C282" s="1">
        <f t="shared" si="245"/>
        <v>0.06</v>
      </c>
      <c r="D282" s="1">
        <f t="shared" si="246"/>
        <v>2000</v>
      </c>
      <c r="E282" s="3">
        <f t="shared" si="5"/>
        <v>-1806.31346</v>
      </c>
      <c r="F282" s="3">
        <f t="shared" si="6"/>
        <v>3806.31346</v>
      </c>
      <c r="G282" s="3">
        <f t="shared" si="7"/>
        <v>-365069.0055</v>
      </c>
    </row>
    <row r="283">
      <c r="A283" s="3">
        <f t="shared" si="3"/>
        <v>22.5</v>
      </c>
      <c r="B283" s="1">
        <f t="shared" si="1"/>
        <v>12</v>
      </c>
      <c r="C283" s="1">
        <f t="shared" si="245"/>
        <v>0.06</v>
      </c>
      <c r="D283" s="1">
        <f t="shared" si="246"/>
        <v>2000</v>
      </c>
      <c r="E283" s="3">
        <f t="shared" si="5"/>
        <v>-1825.345027</v>
      </c>
      <c r="F283" s="3">
        <f t="shared" si="6"/>
        <v>3825.345027</v>
      </c>
      <c r="G283" s="3">
        <f t="shared" si="7"/>
        <v>-368894.3505</v>
      </c>
    </row>
    <row r="284">
      <c r="A284" s="3">
        <f t="shared" si="3"/>
        <v>22.58333333</v>
      </c>
      <c r="B284" s="1">
        <f t="shared" si="1"/>
        <v>12</v>
      </c>
      <c r="C284" s="1">
        <f t="shared" si="245"/>
        <v>0.06</v>
      </c>
      <c r="D284" s="1">
        <f t="shared" si="246"/>
        <v>2000</v>
      </c>
      <c r="E284" s="3">
        <f t="shared" si="5"/>
        <v>-1844.471753</v>
      </c>
      <c r="F284" s="3">
        <f t="shared" si="6"/>
        <v>3844.471753</v>
      </c>
      <c r="G284" s="3">
        <f t="shared" si="7"/>
        <v>-372738.8223</v>
      </c>
    </row>
    <row r="285">
      <c r="A285" s="3">
        <f t="shared" si="3"/>
        <v>22.66666667</v>
      </c>
      <c r="B285" s="1">
        <f t="shared" si="1"/>
        <v>12</v>
      </c>
      <c r="C285" s="1">
        <f t="shared" si="245"/>
        <v>0.06</v>
      </c>
      <c r="D285" s="1">
        <f t="shared" si="246"/>
        <v>2000</v>
      </c>
      <c r="E285" s="3">
        <f t="shared" si="5"/>
        <v>-1863.694111</v>
      </c>
      <c r="F285" s="3">
        <f t="shared" si="6"/>
        <v>3863.694111</v>
      </c>
      <c r="G285" s="3">
        <f t="shared" si="7"/>
        <v>-376602.5164</v>
      </c>
    </row>
    <row r="286">
      <c r="A286" s="3">
        <f t="shared" si="3"/>
        <v>22.75</v>
      </c>
      <c r="B286" s="1">
        <f t="shared" si="1"/>
        <v>12</v>
      </c>
      <c r="C286" s="1">
        <f t="shared" si="245"/>
        <v>0.06</v>
      </c>
      <c r="D286" s="1">
        <f t="shared" si="246"/>
        <v>2000</v>
      </c>
      <c r="E286" s="3">
        <f t="shared" si="5"/>
        <v>-1883.012582</v>
      </c>
      <c r="F286" s="3">
        <f t="shared" si="6"/>
        <v>3883.012582</v>
      </c>
      <c r="G286" s="3">
        <f t="shared" si="7"/>
        <v>-380485.529</v>
      </c>
    </row>
    <row r="287">
      <c r="A287" s="3">
        <f t="shared" si="3"/>
        <v>22.83333333</v>
      </c>
      <c r="B287" s="1">
        <f t="shared" si="1"/>
        <v>12</v>
      </c>
      <c r="C287" s="1">
        <f t="shared" si="245"/>
        <v>0.06</v>
      </c>
      <c r="D287" s="1">
        <f t="shared" si="246"/>
        <v>2000</v>
      </c>
      <c r="E287" s="3">
        <f t="shared" si="5"/>
        <v>-1902.427645</v>
      </c>
      <c r="F287" s="3">
        <f t="shared" si="6"/>
        <v>3902.427645</v>
      </c>
      <c r="G287" s="3">
        <f t="shared" si="7"/>
        <v>-384387.9566</v>
      </c>
    </row>
    <row r="288">
      <c r="A288" s="3">
        <f t="shared" si="3"/>
        <v>22.91666667</v>
      </c>
      <c r="B288" s="1">
        <f t="shared" si="1"/>
        <v>12</v>
      </c>
      <c r="C288" s="1">
        <f t="shared" si="245"/>
        <v>0.06</v>
      </c>
      <c r="D288" s="1">
        <f t="shared" si="246"/>
        <v>2000</v>
      </c>
      <c r="E288" s="3">
        <f t="shared" si="5"/>
        <v>-1921.939783</v>
      </c>
      <c r="F288" s="3">
        <f t="shared" si="6"/>
        <v>3921.939783</v>
      </c>
      <c r="G288" s="3">
        <f t="shared" si="7"/>
        <v>-388309.8964</v>
      </c>
    </row>
    <row r="289">
      <c r="A289" s="3">
        <f t="shared" si="3"/>
        <v>23</v>
      </c>
      <c r="B289" s="1">
        <f t="shared" si="1"/>
        <v>12</v>
      </c>
      <c r="C289" s="1">
        <f t="shared" si="245"/>
        <v>0.06</v>
      </c>
      <c r="D289" s="1">
        <f t="shared" si="246"/>
        <v>2000</v>
      </c>
      <c r="E289" s="3">
        <f t="shared" si="5"/>
        <v>-1941.549482</v>
      </c>
      <c r="F289" s="3">
        <f t="shared" si="6"/>
        <v>3941.549482</v>
      </c>
      <c r="G289" s="3">
        <f t="shared" si="7"/>
        <v>-392251.4459</v>
      </c>
    </row>
    <row r="290">
      <c r="A290" s="3">
        <f t="shared" si="3"/>
        <v>23.08333333</v>
      </c>
      <c r="B290" s="1">
        <f t="shared" si="1"/>
        <v>12</v>
      </c>
      <c r="C290" s="1">
        <f t="shared" si="245"/>
        <v>0.06</v>
      </c>
      <c r="D290" s="1">
        <f t="shared" si="246"/>
        <v>2000</v>
      </c>
      <c r="E290" s="3">
        <f t="shared" si="5"/>
        <v>-1961.257229</v>
      </c>
      <c r="F290" s="3">
        <f t="shared" si="6"/>
        <v>3961.257229</v>
      </c>
      <c r="G290" s="3">
        <f t="shared" si="7"/>
        <v>-396212.7031</v>
      </c>
    </row>
    <row r="291">
      <c r="A291" s="3">
        <f t="shared" si="3"/>
        <v>23.16666667</v>
      </c>
      <c r="B291" s="1">
        <f t="shared" si="1"/>
        <v>12</v>
      </c>
      <c r="C291" s="1">
        <f t="shared" si="245"/>
        <v>0.06</v>
      </c>
      <c r="D291" s="1">
        <f t="shared" si="246"/>
        <v>2000</v>
      </c>
      <c r="E291" s="3">
        <f t="shared" si="5"/>
        <v>-1981.063516</v>
      </c>
      <c r="F291" s="3">
        <f t="shared" si="6"/>
        <v>3981.063516</v>
      </c>
      <c r="G291" s="3">
        <f t="shared" si="7"/>
        <v>-400193.7666</v>
      </c>
    </row>
    <row r="292">
      <c r="A292" s="3">
        <f t="shared" si="3"/>
        <v>23.25</v>
      </c>
      <c r="B292" s="1">
        <f t="shared" si="1"/>
        <v>12</v>
      </c>
      <c r="C292" s="1">
        <f t="shared" si="245"/>
        <v>0.06</v>
      </c>
      <c r="D292" s="1">
        <f t="shared" si="246"/>
        <v>2000</v>
      </c>
      <c r="E292" s="3">
        <f t="shared" si="5"/>
        <v>-2000.968833</v>
      </c>
      <c r="F292" s="3">
        <f t="shared" si="6"/>
        <v>4000.968833</v>
      </c>
      <c r="G292" s="3">
        <f t="shared" si="7"/>
        <v>-404194.7355</v>
      </c>
    </row>
    <row r="293">
      <c r="D293" s="1">
        <f t="shared" si="246"/>
        <v>2000</v>
      </c>
    </row>
    <row r="294">
      <c r="D294" s="1">
        <f t="shared" si="246"/>
        <v>2000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14.88"/>
    <col customWidth="1" min="5" max="5" width="9.63"/>
    <col customWidth="1" min="6" max="6" width="10.88"/>
    <col customWidth="1" min="7" max="7" width="9.0"/>
    <col customWidth="1" min="8" max="8" width="15.63"/>
    <col customWidth="1" min="10" max="10" width="17.38"/>
  </cols>
  <sheetData>
    <row r="1">
      <c r="A1" s="4" t="s">
        <v>14</v>
      </c>
      <c r="B1" s="5" t="s">
        <v>2</v>
      </c>
      <c r="C1" s="5" t="s">
        <v>3</v>
      </c>
      <c r="D1" s="6" t="s">
        <v>15</v>
      </c>
      <c r="E1" s="5" t="s">
        <v>10</v>
      </c>
      <c r="F1" s="5" t="s">
        <v>16</v>
      </c>
      <c r="G1" s="5" t="s">
        <v>12</v>
      </c>
      <c r="H1" s="5" t="s">
        <v>17</v>
      </c>
      <c r="I1" s="7"/>
      <c r="J1" s="8" t="s">
        <v>18</v>
      </c>
      <c r="K1" s="9">
        <f>160000</f>
        <v>160000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0">
        <f>200000</f>
        <v>200000</v>
      </c>
      <c r="B2" s="3">
        <f t="shared" ref="B2:B374" si="1">0.064</f>
        <v>0.064</v>
      </c>
      <c r="C2" s="3">
        <f t="shared" ref="C2:C374" si="2">12</f>
        <v>12</v>
      </c>
      <c r="D2" s="11">
        <f>0</f>
        <v>0</v>
      </c>
      <c r="E2" s="3">
        <f>A2*0.2</f>
        <v>40000</v>
      </c>
      <c r="F2" s="2"/>
      <c r="G2" s="2"/>
      <c r="H2" s="2">
        <f>A2-E2</f>
        <v>160000</v>
      </c>
      <c r="J2" s="12" t="s">
        <v>19</v>
      </c>
      <c r="K2" s="12" t="s">
        <v>20</v>
      </c>
    </row>
    <row r="3">
      <c r="A3" s="10"/>
      <c r="B3" s="3">
        <f t="shared" si="1"/>
        <v>0.064</v>
      </c>
      <c r="C3" s="3">
        <f t="shared" si="2"/>
        <v>12</v>
      </c>
      <c r="D3" s="11">
        <f t="shared" ref="D3:D374" si="3">D2+1/C3</f>
        <v>0.08333333333</v>
      </c>
      <c r="E3" s="3">
        <f>1000</f>
        <v>1000</v>
      </c>
      <c r="F3" s="2">
        <f t="shared" ref="F3:F374" si="4">H2*B3/C3</f>
        <v>853.3333333</v>
      </c>
      <c r="G3" s="2">
        <f t="shared" ref="G3:G374" si="5">E3-F3</f>
        <v>146.6666667</v>
      </c>
      <c r="H3" s="2">
        <f t="shared" ref="H3:H374" si="6">H2+H2*(B3/C3)-E3</f>
        <v>159853.3333</v>
      </c>
      <c r="J3" s="12" t="s">
        <v>21</v>
      </c>
      <c r="K3" s="13">
        <f>30*1000*12</f>
        <v>360000</v>
      </c>
    </row>
    <row r="4">
      <c r="A4" s="14" t="s">
        <v>22</v>
      </c>
      <c r="B4" s="3">
        <f t="shared" si="1"/>
        <v>0.064</v>
      </c>
      <c r="C4" s="3">
        <f t="shared" si="2"/>
        <v>12</v>
      </c>
      <c r="D4" s="11">
        <f t="shared" si="3"/>
        <v>0.1666666667</v>
      </c>
      <c r="E4" s="3">
        <f t="shared" ref="E4:E374" si="7">E3</f>
        <v>1000</v>
      </c>
      <c r="F4" s="2">
        <f t="shared" si="4"/>
        <v>852.5511111</v>
      </c>
      <c r="G4" s="2">
        <f t="shared" si="5"/>
        <v>147.4488889</v>
      </c>
      <c r="H4" s="2">
        <f t="shared" si="6"/>
        <v>159705.8844</v>
      </c>
      <c r="J4" s="12" t="s">
        <v>23</v>
      </c>
      <c r="K4" s="13">
        <f>K3-K1</f>
        <v>200000</v>
      </c>
    </row>
    <row r="5">
      <c r="A5" s="15">
        <v>0.2</v>
      </c>
      <c r="B5" s="3">
        <f t="shared" si="1"/>
        <v>0.064</v>
      </c>
      <c r="C5" s="3">
        <f t="shared" si="2"/>
        <v>12</v>
      </c>
      <c r="D5" s="11">
        <f t="shared" si="3"/>
        <v>0.25</v>
      </c>
      <c r="E5" s="3">
        <f t="shared" si="7"/>
        <v>1000</v>
      </c>
      <c r="F5" s="2">
        <f t="shared" si="4"/>
        <v>851.764717</v>
      </c>
      <c r="G5" s="2">
        <f t="shared" si="5"/>
        <v>148.235283</v>
      </c>
      <c r="H5" s="2">
        <f t="shared" si="6"/>
        <v>159557.6492</v>
      </c>
      <c r="J5" s="16" t="s">
        <v>24</v>
      </c>
      <c r="K5" s="17">
        <f>K3+E2</f>
        <v>400000</v>
      </c>
    </row>
    <row r="6">
      <c r="B6" s="3">
        <f t="shared" si="1"/>
        <v>0.064</v>
      </c>
      <c r="C6" s="3">
        <f t="shared" si="2"/>
        <v>12</v>
      </c>
      <c r="D6" s="11">
        <f t="shared" si="3"/>
        <v>0.3333333333</v>
      </c>
      <c r="E6" s="3">
        <f t="shared" si="7"/>
        <v>1000</v>
      </c>
      <c r="F6" s="2">
        <f t="shared" si="4"/>
        <v>850.9741289</v>
      </c>
      <c r="G6" s="2">
        <f t="shared" si="5"/>
        <v>149.0258711</v>
      </c>
      <c r="H6" s="2">
        <f t="shared" si="6"/>
        <v>159408.6233</v>
      </c>
    </row>
    <row r="7">
      <c r="B7" s="3">
        <f t="shared" si="1"/>
        <v>0.064</v>
      </c>
      <c r="C7" s="3">
        <f t="shared" si="2"/>
        <v>12</v>
      </c>
      <c r="D7" s="11">
        <f t="shared" si="3"/>
        <v>0.4166666667</v>
      </c>
      <c r="E7" s="3">
        <f t="shared" si="7"/>
        <v>1000</v>
      </c>
      <c r="F7" s="2">
        <f t="shared" si="4"/>
        <v>850.1793242</v>
      </c>
      <c r="G7" s="2">
        <f t="shared" si="5"/>
        <v>149.8206758</v>
      </c>
      <c r="H7" s="2">
        <f t="shared" si="6"/>
        <v>159258.8026</v>
      </c>
    </row>
    <row r="8">
      <c r="B8" s="3">
        <f t="shared" si="1"/>
        <v>0.064</v>
      </c>
      <c r="C8" s="3">
        <f t="shared" si="2"/>
        <v>12</v>
      </c>
      <c r="D8" s="11">
        <f t="shared" si="3"/>
        <v>0.5</v>
      </c>
      <c r="E8" s="3">
        <f t="shared" si="7"/>
        <v>1000</v>
      </c>
      <c r="F8" s="2">
        <f t="shared" si="4"/>
        <v>849.3802806</v>
      </c>
      <c r="G8" s="2">
        <f t="shared" si="5"/>
        <v>150.6197194</v>
      </c>
      <c r="H8" s="2">
        <f t="shared" si="6"/>
        <v>159108.1829</v>
      </c>
    </row>
    <row r="9">
      <c r="B9" s="3">
        <f t="shared" si="1"/>
        <v>0.064</v>
      </c>
      <c r="C9" s="3">
        <f t="shared" si="2"/>
        <v>12</v>
      </c>
      <c r="D9" s="11">
        <f t="shared" si="3"/>
        <v>0.5833333333</v>
      </c>
      <c r="E9" s="3">
        <f t="shared" si="7"/>
        <v>1000</v>
      </c>
      <c r="F9" s="2">
        <f t="shared" si="4"/>
        <v>848.5769754</v>
      </c>
      <c r="G9" s="2">
        <f t="shared" si="5"/>
        <v>151.4230246</v>
      </c>
      <c r="H9" s="2">
        <f t="shared" si="6"/>
        <v>158956.7599</v>
      </c>
    </row>
    <row r="10">
      <c r="B10" s="3">
        <f t="shared" si="1"/>
        <v>0.064</v>
      </c>
      <c r="C10" s="3">
        <f t="shared" si="2"/>
        <v>12</v>
      </c>
      <c r="D10" s="11">
        <f t="shared" si="3"/>
        <v>0.6666666667</v>
      </c>
      <c r="E10" s="3">
        <f t="shared" si="7"/>
        <v>1000</v>
      </c>
      <c r="F10" s="2">
        <f t="shared" si="4"/>
        <v>847.769386</v>
      </c>
      <c r="G10" s="2">
        <f t="shared" si="5"/>
        <v>152.230614</v>
      </c>
      <c r="H10" s="2">
        <f t="shared" si="6"/>
        <v>158804.5293</v>
      </c>
    </row>
    <row r="11">
      <c r="B11" s="3">
        <f t="shared" si="1"/>
        <v>0.064</v>
      </c>
      <c r="C11" s="3">
        <f t="shared" si="2"/>
        <v>12</v>
      </c>
      <c r="D11" s="11">
        <f t="shared" si="3"/>
        <v>0.75</v>
      </c>
      <c r="E11" s="3">
        <f t="shared" si="7"/>
        <v>1000</v>
      </c>
      <c r="F11" s="2">
        <f t="shared" si="4"/>
        <v>846.9574894</v>
      </c>
      <c r="G11" s="2">
        <f t="shared" si="5"/>
        <v>153.0425106</v>
      </c>
      <c r="H11" s="2">
        <f t="shared" si="6"/>
        <v>158651.4867</v>
      </c>
    </row>
    <row r="12">
      <c r="B12" s="3">
        <f t="shared" si="1"/>
        <v>0.064</v>
      </c>
      <c r="C12" s="3">
        <f t="shared" si="2"/>
        <v>12</v>
      </c>
      <c r="D12" s="11">
        <f t="shared" si="3"/>
        <v>0.8333333333</v>
      </c>
      <c r="E12" s="3">
        <f t="shared" si="7"/>
        <v>1000</v>
      </c>
      <c r="F12" s="2">
        <f t="shared" si="4"/>
        <v>846.1412626</v>
      </c>
      <c r="G12" s="2">
        <f t="shared" si="5"/>
        <v>153.8587374</v>
      </c>
      <c r="H12" s="2">
        <f t="shared" si="6"/>
        <v>158497.628</v>
      </c>
    </row>
    <row r="13">
      <c r="B13" s="3">
        <f t="shared" si="1"/>
        <v>0.064</v>
      </c>
      <c r="C13" s="3">
        <f t="shared" si="2"/>
        <v>12</v>
      </c>
      <c r="D13" s="11">
        <f t="shared" si="3"/>
        <v>0.9166666667</v>
      </c>
      <c r="E13" s="3">
        <f t="shared" si="7"/>
        <v>1000</v>
      </c>
      <c r="F13" s="2">
        <f t="shared" si="4"/>
        <v>845.3206827</v>
      </c>
      <c r="G13" s="2">
        <f t="shared" si="5"/>
        <v>154.6793173</v>
      </c>
      <c r="H13" s="2">
        <f t="shared" si="6"/>
        <v>158342.9487</v>
      </c>
    </row>
    <row r="14">
      <c r="B14" s="3">
        <f t="shared" si="1"/>
        <v>0.064</v>
      </c>
      <c r="C14" s="3">
        <f t="shared" si="2"/>
        <v>12</v>
      </c>
      <c r="D14" s="11">
        <f t="shared" si="3"/>
        <v>1</v>
      </c>
      <c r="E14" s="3">
        <f t="shared" si="7"/>
        <v>1000</v>
      </c>
      <c r="F14" s="2">
        <f t="shared" si="4"/>
        <v>844.4957264</v>
      </c>
      <c r="G14" s="2">
        <f t="shared" si="5"/>
        <v>155.5042736</v>
      </c>
      <c r="H14" s="2">
        <f t="shared" si="6"/>
        <v>158187.4444</v>
      </c>
    </row>
    <row r="15">
      <c r="B15" s="3">
        <f t="shared" si="1"/>
        <v>0.064</v>
      </c>
      <c r="C15" s="3">
        <f t="shared" si="2"/>
        <v>12</v>
      </c>
      <c r="D15" s="11">
        <f t="shared" si="3"/>
        <v>1.083333333</v>
      </c>
      <c r="E15" s="3">
        <f t="shared" si="7"/>
        <v>1000</v>
      </c>
      <c r="F15" s="2">
        <f t="shared" si="4"/>
        <v>843.6663702</v>
      </c>
      <c r="G15" s="2">
        <f t="shared" si="5"/>
        <v>156.3336298</v>
      </c>
      <c r="H15" s="2">
        <f t="shared" si="6"/>
        <v>158031.1108</v>
      </c>
    </row>
    <row r="16">
      <c r="B16" s="3">
        <f t="shared" si="1"/>
        <v>0.064</v>
      </c>
      <c r="C16" s="3">
        <f t="shared" si="2"/>
        <v>12</v>
      </c>
      <c r="D16" s="11">
        <f t="shared" si="3"/>
        <v>1.166666667</v>
      </c>
      <c r="E16" s="3">
        <f t="shared" si="7"/>
        <v>1000</v>
      </c>
      <c r="F16" s="2">
        <f t="shared" si="4"/>
        <v>842.8325909</v>
      </c>
      <c r="G16" s="2">
        <f t="shared" si="5"/>
        <v>157.1674091</v>
      </c>
      <c r="H16" s="2">
        <f t="shared" si="6"/>
        <v>157873.9434</v>
      </c>
    </row>
    <row r="17">
      <c r="B17" s="3">
        <f t="shared" si="1"/>
        <v>0.064</v>
      </c>
      <c r="C17" s="3">
        <f t="shared" si="2"/>
        <v>12</v>
      </c>
      <c r="D17" s="11">
        <f t="shared" si="3"/>
        <v>1.25</v>
      </c>
      <c r="E17" s="3">
        <f t="shared" si="7"/>
        <v>1000</v>
      </c>
      <c r="F17" s="2">
        <f t="shared" si="4"/>
        <v>841.9943647</v>
      </c>
      <c r="G17" s="2">
        <f t="shared" si="5"/>
        <v>158.0056353</v>
      </c>
      <c r="H17" s="2">
        <f t="shared" si="6"/>
        <v>157715.9377</v>
      </c>
    </row>
    <row r="18">
      <c r="B18" s="3">
        <f t="shared" si="1"/>
        <v>0.064</v>
      </c>
      <c r="C18" s="3">
        <f t="shared" si="2"/>
        <v>12</v>
      </c>
      <c r="D18" s="11">
        <f t="shared" si="3"/>
        <v>1.333333333</v>
      </c>
      <c r="E18" s="3">
        <f t="shared" si="7"/>
        <v>1000</v>
      </c>
      <c r="F18" s="2">
        <f t="shared" si="4"/>
        <v>841.151668</v>
      </c>
      <c r="G18" s="2">
        <f t="shared" si="5"/>
        <v>158.848332</v>
      </c>
      <c r="H18" s="2">
        <f t="shared" si="6"/>
        <v>157557.0894</v>
      </c>
    </row>
    <row r="19">
      <c r="B19" s="3">
        <f t="shared" si="1"/>
        <v>0.064</v>
      </c>
      <c r="C19" s="3">
        <f t="shared" si="2"/>
        <v>12</v>
      </c>
      <c r="D19" s="11">
        <f t="shared" si="3"/>
        <v>1.416666667</v>
      </c>
      <c r="E19" s="3">
        <f t="shared" si="7"/>
        <v>1000</v>
      </c>
      <c r="F19" s="2">
        <f t="shared" si="4"/>
        <v>840.3044769</v>
      </c>
      <c r="G19" s="2">
        <f t="shared" si="5"/>
        <v>159.6955231</v>
      </c>
      <c r="H19" s="2">
        <f t="shared" si="6"/>
        <v>157397.3939</v>
      </c>
    </row>
    <row r="20">
      <c r="B20" s="3">
        <f t="shared" si="1"/>
        <v>0.064</v>
      </c>
      <c r="C20" s="3">
        <f t="shared" si="2"/>
        <v>12</v>
      </c>
      <c r="D20" s="11">
        <f t="shared" si="3"/>
        <v>1.5</v>
      </c>
      <c r="E20" s="3">
        <f t="shared" si="7"/>
        <v>1000</v>
      </c>
      <c r="F20" s="2">
        <f t="shared" si="4"/>
        <v>839.4527674</v>
      </c>
      <c r="G20" s="2">
        <f t="shared" si="5"/>
        <v>160.5472326</v>
      </c>
      <c r="H20" s="2">
        <f t="shared" si="6"/>
        <v>157236.8467</v>
      </c>
    </row>
    <row r="21">
      <c r="B21" s="3">
        <f t="shared" si="1"/>
        <v>0.064</v>
      </c>
      <c r="C21" s="3">
        <f t="shared" si="2"/>
        <v>12</v>
      </c>
      <c r="D21" s="11">
        <f t="shared" si="3"/>
        <v>1.583333333</v>
      </c>
      <c r="E21" s="3">
        <f t="shared" si="7"/>
        <v>1000</v>
      </c>
      <c r="F21" s="2">
        <f t="shared" si="4"/>
        <v>838.5965155</v>
      </c>
      <c r="G21" s="2">
        <f t="shared" si="5"/>
        <v>161.4034845</v>
      </c>
      <c r="H21" s="2">
        <f t="shared" si="6"/>
        <v>157075.4432</v>
      </c>
    </row>
    <row r="22">
      <c r="B22" s="3">
        <f t="shared" si="1"/>
        <v>0.064</v>
      </c>
      <c r="C22" s="3">
        <f t="shared" si="2"/>
        <v>12</v>
      </c>
      <c r="D22" s="11">
        <f t="shared" si="3"/>
        <v>1.666666667</v>
      </c>
      <c r="E22" s="3">
        <f t="shared" si="7"/>
        <v>1000</v>
      </c>
      <c r="F22" s="2">
        <f t="shared" si="4"/>
        <v>837.7356969</v>
      </c>
      <c r="G22" s="2">
        <f t="shared" si="5"/>
        <v>162.2643031</v>
      </c>
      <c r="H22" s="2">
        <f t="shared" si="6"/>
        <v>156913.1789</v>
      </c>
    </row>
    <row r="23">
      <c r="B23" s="3">
        <f t="shared" si="1"/>
        <v>0.064</v>
      </c>
      <c r="C23" s="3">
        <f t="shared" si="2"/>
        <v>12</v>
      </c>
      <c r="D23" s="11">
        <f t="shared" si="3"/>
        <v>1.75</v>
      </c>
      <c r="E23" s="3">
        <f t="shared" si="7"/>
        <v>1000</v>
      </c>
      <c r="F23" s="2">
        <f t="shared" si="4"/>
        <v>836.8702873</v>
      </c>
      <c r="G23" s="2">
        <f t="shared" si="5"/>
        <v>163.1297127</v>
      </c>
      <c r="H23" s="2">
        <f t="shared" si="6"/>
        <v>156750.0492</v>
      </c>
    </row>
    <row r="24">
      <c r="B24" s="3">
        <f t="shared" si="1"/>
        <v>0.064</v>
      </c>
      <c r="C24" s="3">
        <f t="shared" si="2"/>
        <v>12</v>
      </c>
      <c r="D24" s="11">
        <f t="shared" si="3"/>
        <v>1.833333333</v>
      </c>
      <c r="E24" s="3">
        <f t="shared" si="7"/>
        <v>1000</v>
      </c>
      <c r="F24" s="2">
        <f t="shared" si="4"/>
        <v>836.0002622</v>
      </c>
      <c r="G24" s="2">
        <f t="shared" si="5"/>
        <v>163.9997378</v>
      </c>
      <c r="H24" s="2">
        <f t="shared" si="6"/>
        <v>156586.0494</v>
      </c>
    </row>
    <row r="25">
      <c r="B25" s="3">
        <f t="shared" si="1"/>
        <v>0.064</v>
      </c>
      <c r="C25" s="3">
        <f t="shared" si="2"/>
        <v>12</v>
      </c>
      <c r="D25" s="11">
        <f t="shared" si="3"/>
        <v>1.916666667</v>
      </c>
      <c r="E25" s="3">
        <f t="shared" si="7"/>
        <v>1000</v>
      </c>
      <c r="F25" s="2">
        <f t="shared" si="4"/>
        <v>835.1255969</v>
      </c>
      <c r="G25" s="2">
        <f t="shared" si="5"/>
        <v>164.8744031</v>
      </c>
      <c r="H25" s="2">
        <f t="shared" si="6"/>
        <v>156421.175</v>
      </c>
    </row>
    <row r="26">
      <c r="B26" s="3">
        <f t="shared" si="1"/>
        <v>0.064</v>
      </c>
      <c r="C26" s="3">
        <f t="shared" si="2"/>
        <v>12</v>
      </c>
      <c r="D26" s="11">
        <f t="shared" si="3"/>
        <v>2</v>
      </c>
      <c r="E26" s="3">
        <f t="shared" si="7"/>
        <v>1000</v>
      </c>
      <c r="F26" s="2">
        <f t="shared" si="4"/>
        <v>834.2462667</v>
      </c>
      <c r="G26" s="2">
        <f t="shared" si="5"/>
        <v>165.7537333</v>
      </c>
      <c r="H26" s="2">
        <f t="shared" si="6"/>
        <v>156255.4213</v>
      </c>
    </row>
    <row r="27">
      <c r="B27" s="3">
        <f t="shared" si="1"/>
        <v>0.064</v>
      </c>
      <c r="C27" s="3">
        <f t="shared" si="2"/>
        <v>12</v>
      </c>
      <c r="D27" s="11">
        <f t="shared" si="3"/>
        <v>2.083333333</v>
      </c>
      <c r="E27" s="3">
        <f t="shared" si="7"/>
        <v>1000</v>
      </c>
      <c r="F27" s="2">
        <f t="shared" si="4"/>
        <v>833.3622468</v>
      </c>
      <c r="G27" s="2">
        <f t="shared" si="5"/>
        <v>166.6377532</v>
      </c>
      <c r="H27" s="2">
        <f t="shared" si="6"/>
        <v>156088.7835</v>
      </c>
    </row>
    <row r="28">
      <c r="B28" s="3">
        <f t="shared" si="1"/>
        <v>0.064</v>
      </c>
      <c r="C28" s="3">
        <f t="shared" si="2"/>
        <v>12</v>
      </c>
      <c r="D28" s="11">
        <f t="shared" si="3"/>
        <v>2.166666667</v>
      </c>
      <c r="E28" s="3">
        <f t="shared" si="7"/>
        <v>1000</v>
      </c>
      <c r="F28" s="2">
        <f t="shared" si="4"/>
        <v>832.4735121</v>
      </c>
      <c r="G28" s="2">
        <f t="shared" si="5"/>
        <v>167.5264879</v>
      </c>
      <c r="H28" s="2">
        <f t="shared" si="6"/>
        <v>155921.257</v>
      </c>
    </row>
    <row r="29">
      <c r="B29" s="3">
        <f t="shared" si="1"/>
        <v>0.064</v>
      </c>
      <c r="C29" s="3">
        <f t="shared" si="2"/>
        <v>12</v>
      </c>
      <c r="D29" s="11">
        <f t="shared" si="3"/>
        <v>2.25</v>
      </c>
      <c r="E29" s="3">
        <f t="shared" si="7"/>
        <v>1000</v>
      </c>
      <c r="F29" s="2">
        <f t="shared" si="4"/>
        <v>831.5800375</v>
      </c>
      <c r="G29" s="2">
        <f t="shared" si="5"/>
        <v>168.4199625</v>
      </c>
      <c r="H29" s="2">
        <f t="shared" si="6"/>
        <v>155752.8371</v>
      </c>
    </row>
    <row r="30">
      <c r="B30" s="3">
        <f t="shared" si="1"/>
        <v>0.064</v>
      </c>
      <c r="C30" s="3">
        <f t="shared" si="2"/>
        <v>12</v>
      </c>
      <c r="D30" s="11">
        <f t="shared" si="3"/>
        <v>2.333333333</v>
      </c>
      <c r="E30" s="3">
        <f t="shared" si="7"/>
        <v>1000</v>
      </c>
      <c r="F30" s="2">
        <f t="shared" si="4"/>
        <v>830.6817977</v>
      </c>
      <c r="G30" s="2">
        <f t="shared" si="5"/>
        <v>169.3182023</v>
      </c>
      <c r="H30" s="2">
        <f t="shared" si="6"/>
        <v>155583.5189</v>
      </c>
    </row>
    <row r="31">
      <c r="B31" s="3">
        <f t="shared" si="1"/>
        <v>0.064</v>
      </c>
      <c r="C31" s="3">
        <f t="shared" si="2"/>
        <v>12</v>
      </c>
      <c r="D31" s="11">
        <f t="shared" si="3"/>
        <v>2.416666667</v>
      </c>
      <c r="E31" s="3">
        <f t="shared" si="7"/>
        <v>1000</v>
      </c>
      <c r="F31" s="2">
        <f t="shared" si="4"/>
        <v>829.7787673</v>
      </c>
      <c r="G31" s="2">
        <f t="shared" si="5"/>
        <v>170.2212327</v>
      </c>
      <c r="H31" s="2">
        <f t="shared" si="6"/>
        <v>155413.2976</v>
      </c>
    </row>
    <row r="32">
      <c r="B32" s="3">
        <f t="shared" si="1"/>
        <v>0.064</v>
      </c>
      <c r="C32" s="3">
        <f t="shared" si="2"/>
        <v>12</v>
      </c>
      <c r="D32" s="11">
        <f t="shared" si="3"/>
        <v>2.5</v>
      </c>
      <c r="E32" s="3">
        <f t="shared" si="7"/>
        <v>1000</v>
      </c>
      <c r="F32" s="2">
        <f t="shared" si="4"/>
        <v>828.8709208</v>
      </c>
      <c r="G32" s="2">
        <f t="shared" si="5"/>
        <v>171.1290792</v>
      </c>
      <c r="H32" s="2">
        <f t="shared" si="6"/>
        <v>155242.1686</v>
      </c>
    </row>
    <row r="33">
      <c r="B33" s="3">
        <f t="shared" si="1"/>
        <v>0.064</v>
      </c>
      <c r="C33" s="3">
        <f t="shared" si="2"/>
        <v>12</v>
      </c>
      <c r="D33" s="11">
        <f t="shared" si="3"/>
        <v>2.583333333</v>
      </c>
      <c r="E33" s="3">
        <f t="shared" si="7"/>
        <v>1000</v>
      </c>
      <c r="F33" s="2">
        <f t="shared" si="4"/>
        <v>827.9582323</v>
      </c>
      <c r="G33" s="2">
        <f t="shared" si="5"/>
        <v>172.0417677</v>
      </c>
      <c r="H33" s="2">
        <f t="shared" si="6"/>
        <v>155070.1268</v>
      </c>
    </row>
    <row r="34">
      <c r="B34" s="3">
        <f t="shared" si="1"/>
        <v>0.064</v>
      </c>
      <c r="C34" s="3">
        <f t="shared" si="2"/>
        <v>12</v>
      </c>
      <c r="D34" s="11">
        <f t="shared" si="3"/>
        <v>2.666666667</v>
      </c>
      <c r="E34" s="3">
        <f t="shared" si="7"/>
        <v>1000</v>
      </c>
      <c r="F34" s="2">
        <f t="shared" si="4"/>
        <v>827.0406762</v>
      </c>
      <c r="G34" s="2">
        <f t="shared" si="5"/>
        <v>172.9593238</v>
      </c>
      <c r="H34" s="2">
        <f t="shared" si="6"/>
        <v>154897.1675</v>
      </c>
    </row>
    <row r="35">
      <c r="B35" s="3">
        <f t="shared" si="1"/>
        <v>0.064</v>
      </c>
      <c r="C35" s="3">
        <f t="shared" si="2"/>
        <v>12</v>
      </c>
      <c r="D35" s="11">
        <f t="shared" si="3"/>
        <v>2.75</v>
      </c>
      <c r="E35" s="3">
        <f t="shared" si="7"/>
        <v>1000</v>
      </c>
      <c r="F35" s="2">
        <f t="shared" si="4"/>
        <v>826.1182265</v>
      </c>
      <c r="G35" s="2">
        <f t="shared" si="5"/>
        <v>173.8817735</v>
      </c>
      <c r="H35" s="2">
        <f t="shared" si="6"/>
        <v>154723.2857</v>
      </c>
    </row>
    <row r="36">
      <c r="B36" s="3">
        <f t="shared" si="1"/>
        <v>0.064</v>
      </c>
      <c r="C36" s="3">
        <f t="shared" si="2"/>
        <v>12</v>
      </c>
      <c r="D36" s="11">
        <f t="shared" si="3"/>
        <v>2.833333333</v>
      </c>
      <c r="E36" s="3">
        <f t="shared" si="7"/>
        <v>1000</v>
      </c>
      <c r="F36" s="2">
        <f t="shared" si="4"/>
        <v>825.1908571</v>
      </c>
      <c r="G36" s="2">
        <f t="shared" si="5"/>
        <v>174.8091429</v>
      </c>
      <c r="H36" s="2">
        <f t="shared" si="6"/>
        <v>154548.4766</v>
      </c>
    </row>
    <row r="37">
      <c r="B37" s="3">
        <f t="shared" si="1"/>
        <v>0.064</v>
      </c>
      <c r="C37" s="3">
        <f t="shared" si="2"/>
        <v>12</v>
      </c>
      <c r="D37" s="11">
        <f t="shared" si="3"/>
        <v>2.916666667</v>
      </c>
      <c r="E37" s="3">
        <f t="shared" si="7"/>
        <v>1000</v>
      </c>
      <c r="F37" s="2">
        <f t="shared" si="4"/>
        <v>824.2585416</v>
      </c>
      <c r="G37" s="2">
        <f t="shared" si="5"/>
        <v>175.7414584</v>
      </c>
      <c r="H37" s="2">
        <f t="shared" si="6"/>
        <v>154372.7351</v>
      </c>
    </row>
    <row r="38">
      <c r="B38" s="3">
        <f t="shared" si="1"/>
        <v>0.064</v>
      </c>
      <c r="C38" s="3">
        <f t="shared" si="2"/>
        <v>12</v>
      </c>
      <c r="D38" s="11">
        <f t="shared" si="3"/>
        <v>3</v>
      </c>
      <c r="E38" s="3">
        <f t="shared" si="7"/>
        <v>1000</v>
      </c>
      <c r="F38" s="2">
        <f t="shared" si="4"/>
        <v>823.3212539</v>
      </c>
      <c r="G38" s="2">
        <f t="shared" si="5"/>
        <v>176.6787461</v>
      </c>
      <c r="H38" s="2">
        <f t="shared" si="6"/>
        <v>154196.0564</v>
      </c>
    </row>
    <row r="39">
      <c r="B39" s="3">
        <f t="shared" si="1"/>
        <v>0.064</v>
      </c>
      <c r="C39" s="3">
        <f t="shared" si="2"/>
        <v>12</v>
      </c>
      <c r="D39" s="11">
        <f t="shared" si="3"/>
        <v>3.083333333</v>
      </c>
      <c r="E39" s="3">
        <f t="shared" si="7"/>
        <v>1000</v>
      </c>
      <c r="F39" s="2">
        <f t="shared" si="4"/>
        <v>822.3789672</v>
      </c>
      <c r="G39" s="2">
        <f t="shared" si="5"/>
        <v>177.6210328</v>
      </c>
      <c r="H39" s="2">
        <f t="shared" si="6"/>
        <v>154018.4353</v>
      </c>
    </row>
    <row r="40">
      <c r="B40" s="3">
        <f t="shared" si="1"/>
        <v>0.064</v>
      </c>
      <c r="C40" s="3">
        <f t="shared" si="2"/>
        <v>12</v>
      </c>
      <c r="D40" s="11">
        <f t="shared" si="3"/>
        <v>3.166666667</v>
      </c>
      <c r="E40" s="3">
        <f t="shared" si="7"/>
        <v>1000</v>
      </c>
      <c r="F40" s="2">
        <f t="shared" si="4"/>
        <v>821.431655</v>
      </c>
      <c r="G40" s="2">
        <f t="shared" si="5"/>
        <v>178.568345</v>
      </c>
      <c r="H40" s="2">
        <f t="shared" si="6"/>
        <v>153839.867</v>
      </c>
    </row>
    <row r="41">
      <c r="B41" s="3">
        <f t="shared" si="1"/>
        <v>0.064</v>
      </c>
      <c r="C41" s="3">
        <f t="shared" si="2"/>
        <v>12</v>
      </c>
      <c r="D41" s="11">
        <f t="shared" si="3"/>
        <v>3.25</v>
      </c>
      <c r="E41" s="3">
        <f t="shared" si="7"/>
        <v>1000</v>
      </c>
      <c r="F41" s="2">
        <f t="shared" si="4"/>
        <v>820.4792905</v>
      </c>
      <c r="G41" s="2">
        <f t="shared" si="5"/>
        <v>179.5207095</v>
      </c>
      <c r="H41" s="2">
        <f t="shared" si="6"/>
        <v>153660.3463</v>
      </c>
    </row>
    <row r="42">
      <c r="B42" s="3">
        <f t="shared" si="1"/>
        <v>0.064</v>
      </c>
      <c r="C42" s="3">
        <f t="shared" si="2"/>
        <v>12</v>
      </c>
      <c r="D42" s="11">
        <f t="shared" si="3"/>
        <v>3.333333333</v>
      </c>
      <c r="E42" s="3">
        <f t="shared" si="7"/>
        <v>1000</v>
      </c>
      <c r="F42" s="2">
        <f t="shared" si="4"/>
        <v>819.5218467</v>
      </c>
      <c r="G42" s="2">
        <f t="shared" si="5"/>
        <v>180.4781533</v>
      </c>
      <c r="H42" s="2">
        <f t="shared" si="6"/>
        <v>153479.8681</v>
      </c>
    </row>
    <row r="43">
      <c r="B43" s="3">
        <f t="shared" si="1"/>
        <v>0.064</v>
      </c>
      <c r="C43" s="3">
        <f t="shared" si="2"/>
        <v>12</v>
      </c>
      <c r="D43" s="11">
        <f t="shared" si="3"/>
        <v>3.416666667</v>
      </c>
      <c r="E43" s="3">
        <f t="shared" si="7"/>
        <v>1000</v>
      </c>
      <c r="F43" s="2">
        <f t="shared" si="4"/>
        <v>818.5592966</v>
      </c>
      <c r="G43" s="2">
        <f t="shared" si="5"/>
        <v>181.4407034</v>
      </c>
      <c r="H43" s="2">
        <f t="shared" si="6"/>
        <v>153298.4274</v>
      </c>
    </row>
    <row r="44">
      <c r="B44" s="3">
        <f t="shared" si="1"/>
        <v>0.064</v>
      </c>
      <c r="C44" s="3">
        <f t="shared" si="2"/>
        <v>12</v>
      </c>
      <c r="D44" s="11">
        <f t="shared" si="3"/>
        <v>3.5</v>
      </c>
      <c r="E44" s="3">
        <f t="shared" si="7"/>
        <v>1000</v>
      </c>
      <c r="F44" s="2">
        <f t="shared" si="4"/>
        <v>817.5916128</v>
      </c>
      <c r="G44" s="2">
        <f t="shared" si="5"/>
        <v>182.4083872</v>
      </c>
      <c r="H44" s="2">
        <f t="shared" si="6"/>
        <v>153116.019</v>
      </c>
    </row>
    <row r="45">
      <c r="B45" s="3">
        <f t="shared" si="1"/>
        <v>0.064</v>
      </c>
      <c r="C45" s="3">
        <f t="shared" si="2"/>
        <v>12</v>
      </c>
      <c r="D45" s="11">
        <f t="shared" si="3"/>
        <v>3.583333333</v>
      </c>
      <c r="E45" s="3">
        <f t="shared" si="7"/>
        <v>1000</v>
      </c>
      <c r="F45" s="2">
        <f t="shared" si="4"/>
        <v>816.6187681</v>
      </c>
      <c r="G45" s="2">
        <f t="shared" si="5"/>
        <v>183.3812319</v>
      </c>
      <c r="H45" s="2">
        <f t="shared" si="6"/>
        <v>152932.6378</v>
      </c>
    </row>
    <row r="46">
      <c r="B46" s="3">
        <f t="shared" si="1"/>
        <v>0.064</v>
      </c>
      <c r="C46" s="3">
        <f t="shared" si="2"/>
        <v>12</v>
      </c>
      <c r="D46" s="11">
        <f t="shared" si="3"/>
        <v>3.666666667</v>
      </c>
      <c r="E46" s="3">
        <f t="shared" si="7"/>
        <v>1000</v>
      </c>
      <c r="F46" s="2">
        <f t="shared" si="4"/>
        <v>815.6407349</v>
      </c>
      <c r="G46" s="2">
        <f t="shared" si="5"/>
        <v>184.3592651</v>
      </c>
      <c r="H46" s="2">
        <f t="shared" si="6"/>
        <v>152748.2785</v>
      </c>
    </row>
    <row r="47">
      <c r="B47" s="3">
        <f t="shared" si="1"/>
        <v>0.064</v>
      </c>
      <c r="C47" s="3">
        <f t="shared" si="2"/>
        <v>12</v>
      </c>
      <c r="D47" s="11">
        <f t="shared" si="3"/>
        <v>3.75</v>
      </c>
      <c r="E47" s="3">
        <f t="shared" si="7"/>
        <v>1000</v>
      </c>
      <c r="F47" s="2">
        <f t="shared" si="4"/>
        <v>814.6574855</v>
      </c>
      <c r="G47" s="2">
        <f t="shared" si="5"/>
        <v>185.3425145</v>
      </c>
      <c r="H47" s="2">
        <f t="shared" si="6"/>
        <v>152562.936</v>
      </c>
    </row>
    <row r="48">
      <c r="B48" s="3">
        <f t="shared" si="1"/>
        <v>0.064</v>
      </c>
      <c r="C48" s="3">
        <f t="shared" si="2"/>
        <v>12</v>
      </c>
      <c r="D48" s="11">
        <f t="shared" si="3"/>
        <v>3.833333333</v>
      </c>
      <c r="E48" s="3">
        <f t="shared" si="7"/>
        <v>1000</v>
      </c>
      <c r="F48" s="2">
        <f t="shared" si="4"/>
        <v>813.668992</v>
      </c>
      <c r="G48" s="2">
        <f t="shared" si="5"/>
        <v>186.331008</v>
      </c>
      <c r="H48" s="2">
        <f t="shared" si="6"/>
        <v>152376.605</v>
      </c>
    </row>
    <row r="49">
      <c r="B49" s="3">
        <f t="shared" si="1"/>
        <v>0.064</v>
      </c>
      <c r="C49" s="3">
        <f t="shared" si="2"/>
        <v>12</v>
      </c>
      <c r="D49" s="11">
        <f t="shared" si="3"/>
        <v>3.916666667</v>
      </c>
      <c r="E49" s="3">
        <f t="shared" si="7"/>
        <v>1000</v>
      </c>
      <c r="F49" s="2">
        <f t="shared" si="4"/>
        <v>812.6752267</v>
      </c>
      <c r="G49" s="2">
        <f t="shared" si="5"/>
        <v>187.3247733</v>
      </c>
      <c r="H49" s="2">
        <f t="shared" si="6"/>
        <v>152189.2802</v>
      </c>
    </row>
    <row r="50">
      <c r="B50" s="3">
        <f t="shared" si="1"/>
        <v>0.064</v>
      </c>
      <c r="C50" s="3">
        <f t="shared" si="2"/>
        <v>12</v>
      </c>
      <c r="D50" s="11">
        <f t="shared" si="3"/>
        <v>4</v>
      </c>
      <c r="E50" s="3">
        <f t="shared" si="7"/>
        <v>1000</v>
      </c>
      <c r="F50" s="2">
        <f t="shared" si="4"/>
        <v>811.6761612</v>
      </c>
      <c r="G50" s="2">
        <f t="shared" si="5"/>
        <v>188.3238388</v>
      </c>
      <c r="H50" s="2">
        <f t="shared" si="6"/>
        <v>152000.9564</v>
      </c>
    </row>
    <row r="51">
      <c r="B51" s="3">
        <f t="shared" si="1"/>
        <v>0.064</v>
      </c>
      <c r="C51" s="3">
        <f t="shared" si="2"/>
        <v>12</v>
      </c>
      <c r="D51" s="11">
        <f t="shared" si="3"/>
        <v>4.083333333</v>
      </c>
      <c r="E51" s="3">
        <f t="shared" si="7"/>
        <v>1000</v>
      </c>
      <c r="F51" s="2">
        <f t="shared" si="4"/>
        <v>810.6717674</v>
      </c>
      <c r="G51" s="2">
        <f t="shared" si="5"/>
        <v>189.3282326</v>
      </c>
      <c r="H51" s="2">
        <f t="shared" si="6"/>
        <v>151811.6282</v>
      </c>
    </row>
    <row r="52">
      <c r="B52" s="3">
        <f t="shared" si="1"/>
        <v>0.064</v>
      </c>
      <c r="C52" s="3">
        <f t="shared" si="2"/>
        <v>12</v>
      </c>
      <c r="D52" s="11">
        <f t="shared" si="3"/>
        <v>4.166666667</v>
      </c>
      <c r="E52" s="3">
        <f t="shared" si="7"/>
        <v>1000</v>
      </c>
      <c r="F52" s="2">
        <f t="shared" si="4"/>
        <v>809.6620168</v>
      </c>
      <c r="G52" s="2">
        <f t="shared" si="5"/>
        <v>190.3379832</v>
      </c>
      <c r="H52" s="2">
        <f t="shared" si="6"/>
        <v>151621.2902</v>
      </c>
    </row>
    <row r="53">
      <c r="B53" s="3">
        <f t="shared" si="1"/>
        <v>0.064</v>
      </c>
      <c r="C53" s="3">
        <f t="shared" si="2"/>
        <v>12</v>
      </c>
      <c r="D53" s="11">
        <f t="shared" si="3"/>
        <v>4.25</v>
      </c>
      <c r="E53" s="3">
        <f t="shared" si="7"/>
        <v>1000</v>
      </c>
      <c r="F53" s="2">
        <f t="shared" si="4"/>
        <v>808.6468809</v>
      </c>
      <c r="G53" s="2">
        <f t="shared" si="5"/>
        <v>191.3531191</v>
      </c>
      <c r="H53" s="2">
        <f t="shared" si="6"/>
        <v>151429.9371</v>
      </c>
    </row>
    <row r="54">
      <c r="B54" s="3">
        <f t="shared" si="1"/>
        <v>0.064</v>
      </c>
      <c r="C54" s="3">
        <f t="shared" si="2"/>
        <v>12</v>
      </c>
      <c r="D54" s="11">
        <f t="shared" si="3"/>
        <v>4.333333333</v>
      </c>
      <c r="E54" s="3">
        <f t="shared" si="7"/>
        <v>1000</v>
      </c>
      <c r="F54" s="2">
        <f t="shared" si="4"/>
        <v>807.626331</v>
      </c>
      <c r="G54" s="2">
        <f t="shared" si="5"/>
        <v>192.373669</v>
      </c>
      <c r="H54" s="2">
        <f t="shared" si="6"/>
        <v>151237.5634</v>
      </c>
    </row>
    <row r="55">
      <c r="B55" s="3">
        <f t="shared" si="1"/>
        <v>0.064</v>
      </c>
      <c r="C55" s="3">
        <f t="shared" si="2"/>
        <v>12</v>
      </c>
      <c r="D55" s="11">
        <f t="shared" si="3"/>
        <v>4.416666667</v>
      </c>
      <c r="E55" s="3">
        <f t="shared" si="7"/>
        <v>1000</v>
      </c>
      <c r="F55" s="2">
        <f t="shared" si="4"/>
        <v>806.6003381</v>
      </c>
      <c r="G55" s="2">
        <f t="shared" si="5"/>
        <v>193.3996619</v>
      </c>
      <c r="H55" s="2">
        <f t="shared" si="6"/>
        <v>151044.1637</v>
      </c>
    </row>
    <row r="56">
      <c r="B56" s="3">
        <f t="shared" si="1"/>
        <v>0.064</v>
      </c>
      <c r="C56" s="3">
        <f t="shared" si="2"/>
        <v>12</v>
      </c>
      <c r="D56" s="11">
        <f t="shared" si="3"/>
        <v>4.5</v>
      </c>
      <c r="E56" s="3">
        <f t="shared" si="7"/>
        <v>1000</v>
      </c>
      <c r="F56" s="2">
        <f t="shared" si="4"/>
        <v>805.5688732</v>
      </c>
      <c r="G56" s="2">
        <f t="shared" si="5"/>
        <v>194.4311268</v>
      </c>
      <c r="H56" s="2">
        <f t="shared" si="6"/>
        <v>150849.7326</v>
      </c>
    </row>
    <row r="57">
      <c r="B57" s="3">
        <f t="shared" si="1"/>
        <v>0.064</v>
      </c>
      <c r="C57" s="3">
        <f t="shared" si="2"/>
        <v>12</v>
      </c>
      <c r="D57" s="11">
        <f t="shared" si="3"/>
        <v>4.583333333</v>
      </c>
      <c r="E57" s="3">
        <f t="shared" si="7"/>
        <v>1000</v>
      </c>
      <c r="F57" s="2">
        <f t="shared" si="4"/>
        <v>804.5319072</v>
      </c>
      <c r="G57" s="2">
        <f t="shared" si="5"/>
        <v>195.4680928</v>
      </c>
      <c r="H57" s="2">
        <f t="shared" si="6"/>
        <v>150654.2645</v>
      </c>
    </row>
    <row r="58">
      <c r="B58" s="3">
        <f t="shared" si="1"/>
        <v>0.064</v>
      </c>
      <c r="C58" s="3">
        <f t="shared" si="2"/>
        <v>12</v>
      </c>
      <c r="D58" s="11">
        <f t="shared" si="3"/>
        <v>4.666666667</v>
      </c>
      <c r="E58" s="3">
        <f t="shared" si="7"/>
        <v>1000</v>
      </c>
      <c r="F58" s="2">
        <f t="shared" si="4"/>
        <v>803.4894107</v>
      </c>
      <c r="G58" s="2">
        <f t="shared" si="5"/>
        <v>196.5105893</v>
      </c>
      <c r="H58" s="2">
        <f t="shared" si="6"/>
        <v>150457.7539</v>
      </c>
    </row>
    <row r="59">
      <c r="B59" s="3">
        <f t="shared" si="1"/>
        <v>0.064</v>
      </c>
      <c r="C59" s="3">
        <f t="shared" si="2"/>
        <v>12</v>
      </c>
      <c r="D59" s="11">
        <f t="shared" si="3"/>
        <v>4.75</v>
      </c>
      <c r="E59" s="3">
        <f t="shared" si="7"/>
        <v>1000</v>
      </c>
      <c r="F59" s="2">
        <f t="shared" si="4"/>
        <v>802.4413542</v>
      </c>
      <c r="G59" s="2">
        <f t="shared" si="5"/>
        <v>197.5586458</v>
      </c>
      <c r="H59" s="2">
        <f t="shared" si="6"/>
        <v>150260.1953</v>
      </c>
    </row>
    <row r="60">
      <c r="B60" s="3">
        <f t="shared" si="1"/>
        <v>0.064</v>
      </c>
      <c r="C60" s="3">
        <f t="shared" si="2"/>
        <v>12</v>
      </c>
      <c r="D60" s="11">
        <f t="shared" si="3"/>
        <v>4.833333333</v>
      </c>
      <c r="E60" s="3">
        <f t="shared" si="7"/>
        <v>1000</v>
      </c>
      <c r="F60" s="2">
        <f t="shared" si="4"/>
        <v>801.3877081</v>
      </c>
      <c r="G60" s="2">
        <f t="shared" si="5"/>
        <v>198.6122919</v>
      </c>
      <c r="H60" s="2">
        <f t="shared" si="6"/>
        <v>150061.583</v>
      </c>
    </row>
    <row r="61">
      <c r="B61" s="3">
        <f t="shared" si="1"/>
        <v>0.064</v>
      </c>
      <c r="C61" s="3">
        <f t="shared" si="2"/>
        <v>12</v>
      </c>
      <c r="D61" s="11">
        <f t="shared" si="3"/>
        <v>4.916666667</v>
      </c>
      <c r="E61" s="3">
        <f t="shared" si="7"/>
        <v>1000</v>
      </c>
      <c r="F61" s="2">
        <f t="shared" si="4"/>
        <v>800.3284425</v>
      </c>
      <c r="G61" s="2">
        <f t="shared" si="5"/>
        <v>199.6715575</v>
      </c>
      <c r="H61" s="2">
        <f t="shared" si="6"/>
        <v>149861.9114</v>
      </c>
    </row>
    <row r="62">
      <c r="B62" s="3">
        <f t="shared" si="1"/>
        <v>0.064</v>
      </c>
      <c r="C62" s="3">
        <f t="shared" si="2"/>
        <v>12</v>
      </c>
      <c r="D62" s="11">
        <f t="shared" si="3"/>
        <v>5</v>
      </c>
      <c r="E62" s="3">
        <f t="shared" si="7"/>
        <v>1000</v>
      </c>
      <c r="F62" s="2">
        <f t="shared" si="4"/>
        <v>799.2635276</v>
      </c>
      <c r="G62" s="2">
        <f t="shared" si="5"/>
        <v>200.7364724</v>
      </c>
      <c r="H62" s="2">
        <f t="shared" si="6"/>
        <v>149661.1749</v>
      </c>
    </row>
    <row r="63">
      <c r="B63" s="3">
        <f t="shared" si="1"/>
        <v>0.064</v>
      </c>
      <c r="C63" s="3">
        <f t="shared" si="2"/>
        <v>12</v>
      </c>
      <c r="D63" s="11">
        <f t="shared" si="3"/>
        <v>5.083333333</v>
      </c>
      <c r="E63" s="3">
        <f t="shared" si="7"/>
        <v>1000</v>
      </c>
      <c r="F63" s="2">
        <f t="shared" si="4"/>
        <v>798.192933</v>
      </c>
      <c r="G63" s="2">
        <f t="shared" si="5"/>
        <v>201.807067</v>
      </c>
      <c r="H63" s="2">
        <f t="shared" si="6"/>
        <v>149459.3679</v>
      </c>
    </row>
    <row r="64">
      <c r="B64" s="3">
        <f t="shared" si="1"/>
        <v>0.064</v>
      </c>
      <c r="C64" s="3">
        <f t="shared" si="2"/>
        <v>12</v>
      </c>
      <c r="D64" s="11">
        <f t="shared" si="3"/>
        <v>5.166666667</v>
      </c>
      <c r="E64" s="3">
        <f t="shared" si="7"/>
        <v>1000</v>
      </c>
      <c r="F64" s="2">
        <f t="shared" si="4"/>
        <v>797.1166287</v>
      </c>
      <c r="G64" s="2">
        <f t="shared" si="5"/>
        <v>202.8833713</v>
      </c>
      <c r="H64" s="2">
        <f t="shared" si="6"/>
        <v>149256.4845</v>
      </c>
    </row>
    <row r="65">
      <c r="B65" s="3">
        <f t="shared" si="1"/>
        <v>0.064</v>
      </c>
      <c r="C65" s="3">
        <f t="shared" si="2"/>
        <v>12</v>
      </c>
      <c r="D65" s="11">
        <f t="shared" si="3"/>
        <v>5.25</v>
      </c>
      <c r="E65" s="3">
        <f t="shared" si="7"/>
        <v>1000</v>
      </c>
      <c r="F65" s="2">
        <f t="shared" si="4"/>
        <v>796.034584</v>
      </c>
      <c r="G65" s="2">
        <f t="shared" si="5"/>
        <v>203.965416</v>
      </c>
      <c r="H65" s="2">
        <f t="shared" si="6"/>
        <v>149052.5191</v>
      </c>
    </row>
    <row r="66">
      <c r="B66" s="3">
        <f t="shared" si="1"/>
        <v>0.064</v>
      </c>
      <c r="C66" s="3">
        <f t="shared" si="2"/>
        <v>12</v>
      </c>
      <c r="D66" s="11">
        <f t="shared" si="3"/>
        <v>5.333333333</v>
      </c>
      <c r="E66" s="3">
        <f t="shared" si="7"/>
        <v>1000</v>
      </c>
      <c r="F66" s="2">
        <f t="shared" si="4"/>
        <v>794.9467685</v>
      </c>
      <c r="G66" s="2">
        <f t="shared" si="5"/>
        <v>205.0532315</v>
      </c>
      <c r="H66" s="2">
        <f t="shared" si="6"/>
        <v>148847.4659</v>
      </c>
    </row>
    <row r="67">
      <c r="B67" s="3">
        <f t="shared" si="1"/>
        <v>0.064</v>
      </c>
      <c r="C67" s="3">
        <f t="shared" si="2"/>
        <v>12</v>
      </c>
      <c r="D67" s="11">
        <f t="shared" si="3"/>
        <v>5.416666667</v>
      </c>
      <c r="E67" s="3">
        <f t="shared" si="7"/>
        <v>1000</v>
      </c>
      <c r="F67" s="2">
        <f t="shared" si="4"/>
        <v>793.8531513</v>
      </c>
      <c r="G67" s="2">
        <f t="shared" si="5"/>
        <v>206.1468487</v>
      </c>
      <c r="H67" s="2">
        <f t="shared" si="6"/>
        <v>148641.319</v>
      </c>
    </row>
    <row r="68">
      <c r="B68" s="3">
        <f t="shared" si="1"/>
        <v>0.064</v>
      </c>
      <c r="C68" s="3">
        <f t="shared" si="2"/>
        <v>12</v>
      </c>
      <c r="D68" s="11">
        <f t="shared" si="3"/>
        <v>5.5</v>
      </c>
      <c r="E68" s="3">
        <f t="shared" si="7"/>
        <v>1000</v>
      </c>
      <c r="F68" s="2">
        <f t="shared" si="4"/>
        <v>792.7537014</v>
      </c>
      <c r="G68" s="2">
        <f t="shared" si="5"/>
        <v>207.2462986</v>
      </c>
      <c r="H68" s="2">
        <f t="shared" si="6"/>
        <v>148434.0727</v>
      </c>
    </row>
    <row r="69">
      <c r="B69" s="3">
        <f t="shared" si="1"/>
        <v>0.064</v>
      </c>
      <c r="C69" s="3">
        <f t="shared" si="2"/>
        <v>12</v>
      </c>
      <c r="D69" s="11">
        <f t="shared" si="3"/>
        <v>5.583333333</v>
      </c>
      <c r="E69" s="3">
        <f t="shared" si="7"/>
        <v>1000</v>
      </c>
      <c r="F69" s="2">
        <f t="shared" si="4"/>
        <v>791.6483878</v>
      </c>
      <c r="G69" s="2">
        <f t="shared" si="5"/>
        <v>208.3516122</v>
      </c>
      <c r="H69" s="2">
        <f t="shared" si="6"/>
        <v>148225.7211</v>
      </c>
    </row>
    <row r="70">
      <c r="B70" s="3">
        <f t="shared" si="1"/>
        <v>0.064</v>
      </c>
      <c r="C70" s="3">
        <f t="shared" si="2"/>
        <v>12</v>
      </c>
      <c r="D70" s="11">
        <f t="shared" si="3"/>
        <v>5.666666667</v>
      </c>
      <c r="E70" s="3">
        <f t="shared" si="7"/>
        <v>1000</v>
      </c>
      <c r="F70" s="2">
        <f t="shared" si="4"/>
        <v>790.5371792</v>
      </c>
      <c r="G70" s="2">
        <f t="shared" si="5"/>
        <v>209.4628208</v>
      </c>
      <c r="H70" s="2">
        <f t="shared" si="6"/>
        <v>148016.2583</v>
      </c>
    </row>
    <row r="71">
      <c r="B71" s="3">
        <f t="shared" si="1"/>
        <v>0.064</v>
      </c>
      <c r="C71" s="3">
        <f t="shared" si="2"/>
        <v>12</v>
      </c>
      <c r="D71" s="11">
        <f t="shared" si="3"/>
        <v>5.75</v>
      </c>
      <c r="E71" s="3">
        <f t="shared" si="7"/>
        <v>1000</v>
      </c>
      <c r="F71" s="2">
        <f t="shared" si="4"/>
        <v>789.4200442</v>
      </c>
      <c r="G71" s="2">
        <f t="shared" si="5"/>
        <v>210.5799558</v>
      </c>
      <c r="H71" s="2">
        <f t="shared" si="6"/>
        <v>147805.6783</v>
      </c>
    </row>
    <row r="72">
      <c r="B72" s="3">
        <f t="shared" si="1"/>
        <v>0.064</v>
      </c>
      <c r="C72" s="3">
        <f t="shared" si="2"/>
        <v>12</v>
      </c>
      <c r="D72" s="11">
        <f t="shared" si="3"/>
        <v>5.833333333</v>
      </c>
      <c r="E72" s="3">
        <f t="shared" si="7"/>
        <v>1000</v>
      </c>
      <c r="F72" s="2">
        <f t="shared" si="4"/>
        <v>788.2969511</v>
      </c>
      <c r="G72" s="2">
        <f t="shared" si="5"/>
        <v>211.7030489</v>
      </c>
      <c r="H72" s="2">
        <f t="shared" si="6"/>
        <v>147593.9753</v>
      </c>
    </row>
    <row r="73">
      <c r="B73" s="3">
        <f t="shared" si="1"/>
        <v>0.064</v>
      </c>
      <c r="C73" s="3">
        <f t="shared" si="2"/>
        <v>12</v>
      </c>
      <c r="D73" s="11">
        <f t="shared" si="3"/>
        <v>5.916666667</v>
      </c>
      <c r="E73" s="3">
        <f t="shared" si="7"/>
        <v>1000</v>
      </c>
      <c r="F73" s="2">
        <f t="shared" si="4"/>
        <v>787.1678681</v>
      </c>
      <c r="G73" s="2">
        <f t="shared" si="5"/>
        <v>212.8321319</v>
      </c>
      <c r="H73" s="2">
        <f t="shared" si="6"/>
        <v>147381.1431</v>
      </c>
    </row>
    <row r="74">
      <c r="B74" s="3">
        <f t="shared" si="1"/>
        <v>0.064</v>
      </c>
      <c r="C74" s="3">
        <f t="shared" si="2"/>
        <v>12</v>
      </c>
      <c r="D74" s="11">
        <f t="shared" si="3"/>
        <v>6</v>
      </c>
      <c r="E74" s="3">
        <f t="shared" si="7"/>
        <v>1000</v>
      </c>
      <c r="F74" s="2">
        <f t="shared" si="4"/>
        <v>786.0327634</v>
      </c>
      <c r="G74" s="2">
        <f t="shared" si="5"/>
        <v>213.9672366</v>
      </c>
      <c r="H74" s="2">
        <f t="shared" si="6"/>
        <v>147167.1759</v>
      </c>
    </row>
    <row r="75">
      <c r="B75" s="3">
        <f t="shared" si="1"/>
        <v>0.064</v>
      </c>
      <c r="C75" s="3">
        <f t="shared" si="2"/>
        <v>12</v>
      </c>
      <c r="D75" s="11">
        <f t="shared" si="3"/>
        <v>6.083333333</v>
      </c>
      <c r="E75" s="3">
        <f t="shared" si="7"/>
        <v>1000</v>
      </c>
      <c r="F75" s="2">
        <f t="shared" si="4"/>
        <v>784.8916048</v>
      </c>
      <c r="G75" s="2">
        <f t="shared" si="5"/>
        <v>215.1083952</v>
      </c>
      <c r="H75" s="2">
        <f t="shared" si="6"/>
        <v>146952.0675</v>
      </c>
    </row>
    <row r="76">
      <c r="B76" s="3">
        <f t="shared" si="1"/>
        <v>0.064</v>
      </c>
      <c r="C76" s="3">
        <f t="shared" si="2"/>
        <v>12</v>
      </c>
      <c r="D76" s="11">
        <f t="shared" si="3"/>
        <v>6.166666667</v>
      </c>
      <c r="E76" s="3">
        <f t="shared" si="7"/>
        <v>1000</v>
      </c>
      <c r="F76" s="2">
        <f t="shared" si="4"/>
        <v>783.7443601</v>
      </c>
      <c r="G76" s="2">
        <f t="shared" si="5"/>
        <v>216.2556399</v>
      </c>
      <c r="H76" s="2">
        <f t="shared" si="6"/>
        <v>146735.8119</v>
      </c>
    </row>
    <row r="77">
      <c r="B77" s="3">
        <f t="shared" si="1"/>
        <v>0.064</v>
      </c>
      <c r="C77" s="3">
        <f t="shared" si="2"/>
        <v>12</v>
      </c>
      <c r="D77" s="11">
        <f t="shared" si="3"/>
        <v>6.25</v>
      </c>
      <c r="E77" s="3">
        <f t="shared" si="7"/>
        <v>1000</v>
      </c>
      <c r="F77" s="2">
        <f t="shared" si="4"/>
        <v>782.5909966</v>
      </c>
      <c r="G77" s="2">
        <f t="shared" si="5"/>
        <v>217.4090034</v>
      </c>
      <c r="H77" s="2">
        <f t="shared" si="6"/>
        <v>146518.4029</v>
      </c>
    </row>
    <row r="78">
      <c r="B78" s="3">
        <f t="shared" si="1"/>
        <v>0.064</v>
      </c>
      <c r="C78" s="3">
        <f t="shared" si="2"/>
        <v>12</v>
      </c>
      <c r="D78" s="11">
        <f t="shared" si="3"/>
        <v>6.333333333</v>
      </c>
      <c r="E78" s="3">
        <f t="shared" si="7"/>
        <v>1000</v>
      </c>
      <c r="F78" s="2">
        <f t="shared" si="4"/>
        <v>781.431482</v>
      </c>
      <c r="G78" s="2">
        <f t="shared" si="5"/>
        <v>218.568518</v>
      </c>
      <c r="H78" s="2">
        <f t="shared" si="6"/>
        <v>146299.8344</v>
      </c>
    </row>
    <row r="79">
      <c r="B79" s="3">
        <f t="shared" si="1"/>
        <v>0.064</v>
      </c>
      <c r="C79" s="3">
        <f t="shared" si="2"/>
        <v>12</v>
      </c>
      <c r="D79" s="11">
        <f t="shared" si="3"/>
        <v>6.416666667</v>
      </c>
      <c r="E79" s="3">
        <f t="shared" si="7"/>
        <v>1000</v>
      </c>
      <c r="F79" s="2">
        <f t="shared" si="4"/>
        <v>780.2657832</v>
      </c>
      <c r="G79" s="2">
        <f t="shared" si="5"/>
        <v>219.7342168</v>
      </c>
      <c r="H79" s="2">
        <f t="shared" si="6"/>
        <v>146080.1001</v>
      </c>
    </row>
    <row r="80">
      <c r="B80" s="3">
        <f t="shared" si="1"/>
        <v>0.064</v>
      </c>
      <c r="C80" s="3">
        <f t="shared" si="2"/>
        <v>12</v>
      </c>
      <c r="D80" s="11">
        <f t="shared" si="3"/>
        <v>6.5</v>
      </c>
      <c r="E80" s="3">
        <f t="shared" si="7"/>
        <v>1000</v>
      </c>
      <c r="F80" s="2">
        <f t="shared" si="4"/>
        <v>779.0938674</v>
      </c>
      <c r="G80" s="2">
        <f t="shared" si="5"/>
        <v>220.9061326</v>
      </c>
      <c r="H80" s="2">
        <f t="shared" si="6"/>
        <v>145859.194</v>
      </c>
    </row>
    <row r="81">
      <c r="B81" s="3">
        <f t="shared" si="1"/>
        <v>0.064</v>
      </c>
      <c r="C81" s="3">
        <f t="shared" si="2"/>
        <v>12</v>
      </c>
      <c r="D81" s="11">
        <f t="shared" si="3"/>
        <v>6.583333333</v>
      </c>
      <c r="E81" s="3">
        <f t="shared" si="7"/>
        <v>1000</v>
      </c>
      <c r="F81" s="2">
        <f t="shared" si="4"/>
        <v>777.9157013</v>
      </c>
      <c r="G81" s="2">
        <f t="shared" si="5"/>
        <v>222.0842987</v>
      </c>
      <c r="H81" s="2">
        <f t="shared" si="6"/>
        <v>145637.1097</v>
      </c>
    </row>
    <row r="82">
      <c r="B82" s="3">
        <f t="shared" si="1"/>
        <v>0.064</v>
      </c>
      <c r="C82" s="3">
        <f t="shared" si="2"/>
        <v>12</v>
      </c>
      <c r="D82" s="11">
        <f t="shared" si="3"/>
        <v>6.666666667</v>
      </c>
      <c r="E82" s="3">
        <f t="shared" si="7"/>
        <v>1000</v>
      </c>
      <c r="F82" s="2">
        <f t="shared" si="4"/>
        <v>776.7312517</v>
      </c>
      <c r="G82" s="2">
        <f t="shared" si="5"/>
        <v>223.2687483</v>
      </c>
      <c r="H82" s="2">
        <f t="shared" si="6"/>
        <v>145413.841</v>
      </c>
    </row>
    <row r="83">
      <c r="B83" s="3">
        <f t="shared" si="1"/>
        <v>0.064</v>
      </c>
      <c r="C83" s="3">
        <f t="shared" si="2"/>
        <v>12</v>
      </c>
      <c r="D83" s="11">
        <f t="shared" si="3"/>
        <v>6.75</v>
      </c>
      <c r="E83" s="3">
        <f t="shared" si="7"/>
        <v>1000</v>
      </c>
      <c r="F83" s="2">
        <f t="shared" si="4"/>
        <v>775.5404851</v>
      </c>
      <c r="G83" s="2">
        <f t="shared" si="5"/>
        <v>224.4595149</v>
      </c>
      <c r="H83" s="2">
        <f t="shared" si="6"/>
        <v>145189.3814</v>
      </c>
    </row>
    <row r="84">
      <c r="B84" s="3">
        <f t="shared" si="1"/>
        <v>0.064</v>
      </c>
      <c r="C84" s="3">
        <f t="shared" si="2"/>
        <v>12</v>
      </c>
      <c r="D84" s="11">
        <f t="shared" si="3"/>
        <v>6.833333333</v>
      </c>
      <c r="E84" s="3">
        <f t="shared" si="7"/>
        <v>1000</v>
      </c>
      <c r="F84" s="2">
        <f t="shared" si="4"/>
        <v>774.3433677</v>
      </c>
      <c r="G84" s="2">
        <f t="shared" si="5"/>
        <v>225.6566323</v>
      </c>
      <c r="H84" s="2">
        <f t="shared" si="6"/>
        <v>144963.7248</v>
      </c>
    </row>
    <row r="85">
      <c r="B85" s="3">
        <f t="shared" si="1"/>
        <v>0.064</v>
      </c>
      <c r="C85" s="3">
        <f t="shared" si="2"/>
        <v>12</v>
      </c>
      <c r="D85" s="11">
        <f t="shared" si="3"/>
        <v>6.916666667</v>
      </c>
      <c r="E85" s="3">
        <f t="shared" si="7"/>
        <v>1000</v>
      </c>
      <c r="F85" s="2">
        <f t="shared" si="4"/>
        <v>773.1398656</v>
      </c>
      <c r="G85" s="2">
        <f t="shared" si="5"/>
        <v>226.8601344</v>
      </c>
      <c r="H85" s="2">
        <f t="shared" si="6"/>
        <v>144736.8647</v>
      </c>
    </row>
    <row r="86">
      <c r="B86" s="3">
        <f t="shared" si="1"/>
        <v>0.064</v>
      </c>
      <c r="C86" s="3">
        <f t="shared" si="2"/>
        <v>12</v>
      </c>
      <c r="D86" s="11">
        <f t="shared" si="3"/>
        <v>7</v>
      </c>
      <c r="E86" s="3">
        <f t="shared" si="7"/>
        <v>1000</v>
      </c>
      <c r="F86" s="2">
        <f t="shared" si="4"/>
        <v>771.9299449</v>
      </c>
      <c r="G86" s="2">
        <f t="shared" si="5"/>
        <v>228.0700551</v>
      </c>
      <c r="H86" s="2">
        <f t="shared" si="6"/>
        <v>144508.7946</v>
      </c>
    </row>
    <row r="87">
      <c r="B87" s="3">
        <f t="shared" si="1"/>
        <v>0.064</v>
      </c>
      <c r="C87" s="3">
        <f t="shared" si="2"/>
        <v>12</v>
      </c>
      <c r="D87" s="11">
        <f t="shared" si="3"/>
        <v>7.083333333</v>
      </c>
      <c r="E87" s="3">
        <f t="shared" si="7"/>
        <v>1000</v>
      </c>
      <c r="F87" s="2">
        <f t="shared" si="4"/>
        <v>770.7135713</v>
      </c>
      <c r="G87" s="2">
        <f t="shared" si="5"/>
        <v>229.2864287</v>
      </c>
      <c r="H87" s="2">
        <f t="shared" si="6"/>
        <v>144279.5082</v>
      </c>
    </row>
    <row r="88">
      <c r="B88" s="3">
        <f t="shared" si="1"/>
        <v>0.064</v>
      </c>
      <c r="C88" s="3">
        <f t="shared" si="2"/>
        <v>12</v>
      </c>
      <c r="D88" s="11">
        <f t="shared" si="3"/>
        <v>7.166666667</v>
      </c>
      <c r="E88" s="3">
        <f t="shared" si="7"/>
        <v>1000</v>
      </c>
      <c r="F88" s="2">
        <f t="shared" si="4"/>
        <v>769.4907103</v>
      </c>
      <c r="G88" s="2">
        <f t="shared" si="5"/>
        <v>230.5092897</v>
      </c>
      <c r="H88" s="2">
        <f t="shared" si="6"/>
        <v>144048.9989</v>
      </c>
    </row>
    <row r="89">
      <c r="B89" s="3">
        <f t="shared" si="1"/>
        <v>0.064</v>
      </c>
      <c r="C89" s="3">
        <f t="shared" si="2"/>
        <v>12</v>
      </c>
      <c r="D89" s="11">
        <f t="shared" si="3"/>
        <v>7.25</v>
      </c>
      <c r="E89" s="3">
        <f t="shared" si="7"/>
        <v>1000</v>
      </c>
      <c r="F89" s="2">
        <f t="shared" si="4"/>
        <v>768.2613275</v>
      </c>
      <c r="G89" s="2">
        <f t="shared" si="5"/>
        <v>231.7386725</v>
      </c>
      <c r="H89" s="2">
        <f t="shared" si="6"/>
        <v>143817.2602</v>
      </c>
    </row>
    <row r="90">
      <c r="B90" s="3">
        <f t="shared" si="1"/>
        <v>0.064</v>
      </c>
      <c r="C90" s="3">
        <f t="shared" si="2"/>
        <v>12</v>
      </c>
      <c r="D90" s="11">
        <f t="shared" si="3"/>
        <v>7.333333333</v>
      </c>
      <c r="E90" s="3">
        <f t="shared" si="7"/>
        <v>1000</v>
      </c>
      <c r="F90" s="2">
        <f t="shared" si="4"/>
        <v>767.0253879</v>
      </c>
      <c r="G90" s="2">
        <f t="shared" si="5"/>
        <v>232.9746121</v>
      </c>
      <c r="H90" s="2">
        <f t="shared" si="6"/>
        <v>143584.2856</v>
      </c>
    </row>
    <row r="91">
      <c r="B91" s="3">
        <f t="shared" si="1"/>
        <v>0.064</v>
      </c>
      <c r="C91" s="3">
        <f t="shared" si="2"/>
        <v>12</v>
      </c>
      <c r="D91" s="11">
        <f t="shared" si="3"/>
        <v>7.416666667</v>
      </c>
      <c r="E91" s="3">
        <f t="shared" si="7"/>
        <v>1000</v>
      </c>
      <c r="F91" s="2">
        <f t="shared" si="4"/>
        <v>765.7828566</v>
      </c>
      <c r="G91" s="2">
        <f t="shared" si="5"/>
        <v>234.2171434</v>
      </c>
      <c r="H91" s="2">
        <f t="shared" si="6"/>
        <v>143350.0685</v>
      </c>
    </row>
    <row r="92">
      <c r="B92" s="3">
        <f t="shared" si="1"/>
        <v>0.064</v>
      </c>
      <c r="C92" s="3">
        <f t="shared" si="2"/>
        <v>12</v>
      </c>
      <c r="D92" s="11">
        <f t="shared" si="3"/>
        <v>7.5</v>
      </c>
      <c r="E92" s="3">
        <f t="shared" si="7"/>
        <v>1000</v>
      </c>
      <c r="F92" s="2">
        <f t="shared" si="4"/>
        <v>764.5336985</v>
      </c>
      <c r="G92" s="2">
        <f t="shared" si="5"/>
        <v>235.4663015</v>
      </c>
      <c r="H92" s="2">
        <f t="shared" si="6"/>
        <v>143114.6022</v>
      </c>
    </row>
    <row r="93">
      <c r="B93" s="3">
        <f t="shared" si="1"/>
        <v>0.064</v>
      </c>
      <c r="C93" s="3">
        <f t="shared" si="2"/>
        <v>12</v>
      </c>
      <c r="D93" s="11">
        <f t="shared" si="3"/>
        <v>7.583333333</v>
      </c>
      <c r="E93" s="3">
        <f t="shared" si="7"/>
        <v>1000</v>
      </c>
      <c r="F93" s="2">
        <f t="shared" si="4"/>
        <v>763.2778782</v>
      </c>
      <c r="G93" s="2">
        <f t="shared" si="5"/>
        <v>236.7221218</v>
      </c>
      <c r="H93" s="2">
        <f t="shared" si="6"/>
        <v>142877.88</v>
      </c>
    </row>
    <row r="94">
      <c r="B94" s="3">
        <f t="shared" si="1"/>
        <v>0.064</v>
      </c>
      <c r="C94" s="3">
        <f t="shared" si="2"/>
        <v>12</v>
      </c>
      <c r="D94" s="11">
        <f t="shared" si="3"/>
        <v>7.666666667</v>
      </c>
      <c r="E94" s="3">
        <f t="shared" si="7"/>
        <v>1000</v>
      </c>
      <c r="F94" s="2">
        <f t="shared" si="4"/>
        <v>762.0153603</v>
      </c>
      <c r="G94" s="2">
        <f t="shared" si="5"/>
        <v>237.9846397</v>
      </c>
      <c r="H94" s="2">
        <f t="shared" si="6"/>
        <v>142639.8954</v>
      </c>
    </row>
    <row r="95">
      <c r="B95" s="3">
        <f t="shared" si="1"/>
        <v>0.064</v>
      </c>
      <c r="C95" s="3">
        <f t="shared" si="2"/>
        <v>12</v>
      </c>
      <c r="D95" s="11">
        <f t="shared" si="3"/>
        <v>7.75</v>
      </c>
      <c r="E95" s="3">
        <f t="shared" si="7"/>
        <v>1000</v>
      </c>
      <c r="F95" s="2">
        <f t="shared" si="4"/>
        <v>760.7461088</v>
      </c>
      <c r="G95" s="2">
        <f t="shared" si="5"/>
        <v>239.2538912</v>
      </c>
      <c r="H95" s="2">
        <f t="shared" si="6"/>
        <v>142400.6415</v>
      </c>
    </row>
    <row r="96">
      <c r="B96" s="3">
        <f t="shared" si="1"/>
        <v>0.064</v>
      </c>
      <c r="C96" s="3">
        <f t="shared" si="2"/>
        <v>12</v>
      </c>
      <c r="D96" s="11">
        <f t="shared" si="3"/>
        <v>7.833333333</v>
      </c>
      <c r="E96" s="3">
        <f t="shared" si="7"/>
        <v>1000</v>
      </c>
      <c r="F96" s="2">
        <f t="shared" si="4"/>
        <v>759.4700881</v>
      </c>
      <c r="G96" s="2">
        <f t="shared" si="5"/>
        <v>240.5299119</v>
      </c>
      <c r="H96" s="2">
        <f t="shared" si="6"/>
        <v>142160.1116</v>
      </c>
    </row>
    <row r="97">
      <c r="B97" s="3">
        <f t="shared" si="1"/>
        <v>0.064</v>
      </c>
      <c r="C97" s="3">
        <f t="shared" si="2"/>
        <v>12</v>
      </c>
      <c r="D97" s="11">
        <f t="shared" si="3"/>
        <v>7.916666667</v>
      </c>
      <c r="E97" s="3">
        <f t="shared" si="7"/>
        <v>1000</v>
      </c>
      <c r="F97" s="2">
        <f t="shared" si="4"/>
        <v>758.1872619</v>
      </c>
      <c r="G97" s="2">
        <f t="shared" si="5"/>
        <v>241.8127381</v>
      </c>
      <c r="H97" s="2">
        <f t="shared" si="6"/>
        <v>141918.2989</v>
      </c>
    </row>
    <row r="98">
      <c r="B98" s="3">
        <f t="shared" si="1"/>
        <v>0.064</v>
      </c>
      <c r="C98" s="3">
        <f t="shared" si="2"/>
        <v>12</v>
      </c>
      <c r="D98" s="11">
        <f t="shared" si="3"/>
        <v>8</v>
      </c>
      <c r="E98" s="3">
        <f t="shared" si="7"/>
        <v>1000</v>
      </c>
      <c r="F98" s="2">
        <f t="shared" si="4"/>
        <v>756.897594</v>
      </c>
      <c r="G98" s="2">
        <f t="shared" si="5"/>
        <v>243.102406</v>
      </c>
      <c r="H98" s="2">
        <f t="shared" si="6"/>
        <v>141675.1965</v>
      </c>
    </row>
    <row r="99">
      <c r="B99" s="3">
        <f t="shared" si="1"/>
        <v>0.064</v>
      </c>
      <c r="C99" s="3">
        <f t="shared" si="2"/>
        <v>12</v>
      </c>
      <c r="D99" s="11">
        <f t="shared" si="3"/>
        <v>8.083333333</v>
      </c>
      <c r="E99" s="3">
        <f t="shared" si="7"/>
        <v>1000</v>
      </c>
      <c r="F99" s="2">
        <f t="shared" si="4"/>
        <v>755.6010478</v>
      </c>
      <c r="G99" s="2">
        <f t="shared" si="5"/>
        <v>244.3989522</v>
      </c>
      <c r="H99" s="2">
        <f t="shared" si="6"/>
        <v>141430.7975</v>
      </c>
    </row>
    <row r="100">
      <c r="B100" s="3">
        <f t="shared" si="1"/>
        <v>0.064</v>
      </c>
      <c r="C100" s="3">
        <f t="shared" si="2"/>
        <v>12</v>
      </c>
      <c r="D100" s="11">
        <f t="shared" si="3"/>
        <v>8.166666667</v>
      </c>
      <c r="E100" s="3">
        <f t="shared" si="7"/>
        <v>1000</v>
      </c>
      <c r="F100" s="2">
        <f t="shared" si="4"/>
        <v>754.2975867</v>
      </c>
      <c r="G100" s="2">
        <f t="shared" si="5"/>
        <v>245.7024133</v>
      </c>
      <c r="H100" s="2">
        <f t="shared" si="6"/>
        <v>141185.0951</v>
      </c>
    </row>
    <row r="101">
      <c r="B101" s="3">
        <f t="shared" si="1"/>
        <v>0.064</v>
      </c>
      <c r="C101" s="3">
        <f t="shared" si="2"/>
        <v>12</v>
      </c>
      <c r="D101" s="11">
        <f t="shared" si="3"/>
        <v>8.25</v>
      </c>
      <c r="E101" s="3">
        <f t="shared" si="7"/>
        <v>1000</v>
      </c>
      <c r="F101" s="2">
        <f t="shared" si="4"/>
        <v>752.9871738</v>
      </c>
      <c r="G101" s="2">
        <f t="shared" si="5"/>
        <v>247.0128262</v>
      </c>
      <c r="H101" s="2">
        <f t="shared" si="6"/>
        <v>140938.0823</v>
      </c>
    </row>
    <row r="102">
      <c r="B102" s="3">
        <f t="shared" si="1"/>
        <v>0.064</v>
      </c>
      <c r="C102" s="3">
        <f t="shared" si="2"/>
        <v>12</v>
      </c>
      <c r="D102" s="11">
        <f t="shared" si="3"/>
        <v>8.333333333</v>
      </c>
      <c r="E102" s="3">
        <f t="shared" si="7"/>
        <v>1000</v>
      </c>
      <c r="F102" s="2">
        <f t="shared" si="4"/>
        <v>751.6697721</v>
      </c>
      <c r="G102" s="2">
        <f t="shared" si="5"/>
        <v>248.3302279</v>
      </c>
      <c r="H102" s="2">
        <f t="shared" si="6"/>
        <v>140689.752</v>
      </c>
    </row>
    <row r="103">
      <c r="B103" s="3">
        <f t="shared" si="1"/>
        <v>0.064</v>
      </c>
      <c r="C103" s="3">
        <f t="shared" si="2"/>
        <v>12</v>
      </c>
      <c r="D103" s="11">
        <f t="shared" si="3"/>
        <v>8.416666667</v>
      </c>
      <c r="E103" s="3">
        <f t="shared" si="7"/>
        <v>1000</v>
      </c>
      <c r="F103" s="2">
        <f t="shared" si="4"/>
        <v>750.3453442</v>
      </c>
      <c r="G103" s="2">
        <f t="shared" si="5"/>
        <v>249.6546558</v>
      </c>
      <c r="H103" s="2">
        <f t="shared" si="6"/>
        <v>140440.0974</v>
      </c>
    </row>
    <row r="104">
      <c r="B104" s="3">
        <f t="shared" si="1"/>
        <v>0.064</v>
      </c>
      <c r="C104" s="3">
        <f t="shared" si="2"/>
        <v>12</v>
      </c>
      <c r="D104" s="11">
        <f t="shared" si="3"/>
        <v>8.5</v>
      </c>
      <c r="E104" s="3">
        <f t="shared" si="7"/>
        <v>1000</v>
      </c>
      <c r="F104" s="2">
        <f t="shared" si="4"/>
        <v>749.0138527</v>
      </c>
      <c r="G104" s="2">
        <f t="shared" si="5"/>
        <v>250.9861473</v>
      </c>
      <c r="H104" s="2">
        <f t="shared" si="6"/>
        <v>140189.1112</v>
      </c>
    </row>
    <row r="105">
      <c r="B105" s="3">
        <f t="shared" si="1"/>
        <v>0.064</v>
      </c>
      <c r="C105" s="3">
        <f t="shared" si="2"/>
        <v>12</v>
      </c>
      <c r="D105" s="11">
        <f t="shared" si="3"/>
        <v>8.583333333</v>
      </c>
      <c r="E105" s="3">
        <f t="shared" si="7"/>
        <v>1000</v>
      </c>
      <c r="F105" s="2">
        <f t="shared" si="4"/>
        <v>747.6752599</v>
      </c>
      <c r="G105" s="2">
        <f t="shared" si="5"/>
        <v>252.3247401</v>
      </c>
      <c r="H105" s="2">
        <f t="shared" si="6"/>
        <v>139936.7865</v>
      </c>
    </row>
    <row r="106">
      <c r="B106" s="3">
        <f t="shared" si="1"/>
        <v>0.064</v>
      </c>
      <c r="C106" s="3">
        <f t="shared" si="2"/>
        <v>12</v>
      </c>
      <c r="D106" s="11">
        <f t="shared" si="3"/>
        <v>8.666666667</v>
      </c>
      <c r="E106" s="3">
        <f t="shared" si="7"/>
        <v>1000</v>
      </c>
      <c r="F106" s="2">
        <f t="shared" si="4"/>
        <v>746.329528</v>
      </c>
      <c r="G106" s="2">
        <f t="shared" si="5"/>
        <v>253.670472</v>
      </c>
      <c r="H106" s="2">
        <f t="shared" si="6"/>
        <v>139683.116</v>
      </c>
    </row>
    <row r="107">
      <c r="B107" s="3">
        <f t="shared" si="1"/>
        <v>0.064</v>
      </c>
      <c r="C107" s="3">
        <f t="shared" si="2"/>
        <v>12</v>
      </c>
      <c r="D107" s="11">
        <f t="shared" si="3"/>
        <v>8.75</v>
      </c>
      <c r="E107" s="3">
        <f t="shared" si="7"/>
        <v>1000</v>
      </c>
      <c r="F107" s="2">
        <f t="shared" si="4"/>
        <v>744.9766188</v>
      </c>
      <c r="G107" s="2">
        <f t="shared" si="5"/>
        <v>255.0233812</v>
      </c>
      <c r="H107" s="2">
        <f t="shared" si="6"/>
        <v>139428.0926</v>
      </c>
    </row>
    <row r="108">
      <c r="B108" s="3">
        <f t="shared" si="1"/>
        <v>0.064</v>
      </c>
      <c r="C108" s="3">
        <f t="shared" si="2"/>
        <v>12</v>
      </c>
      <c r="D108" s="11">
        <f t="shared" si="3"/>
        <v>8.833333333</v>
      </c>
      <c r="E108" s="3">
        <f t="shared" si="7"/>
        <v>1000</v>
      </c>
      <c r="F108" s="2">
        <f t="shared" si="4"/>
        <v>743.6164941</v>
      </c>
      <c r="G108" s="2">
        <f t="shared" si="5"/>
        <v>256.3835059</v>
      </c>
      <c r="H108" s="2">
        <f t="shared" si="6"/>
        <v>139171.7091</v>
      </c>
    </row>
    <row r="109">
      <c r="B109" s="3">
        <f t="shared" si="1"/>
        <v>0.064</v>
      </c>
      <c r="C109" s="3">
        <f t="shared" si="2"/>
        <v>12</v>
      </c>
      <c r="D109" s="11">
        <f t="shared" si="3"/>
        <v>8.916666667</v>
      </c>
      <c r="E109" s="3">
        <f t="shared" si="7"/>
        <v>1000</v>
      </c>
      <c r="F109" s="2">
        <f t="shared" si="4"/>
        <v>742.2491154</v>
      </c>
      <c r="G109" s="2">
        <f t="shared" si="5"/>
        <v>257.7508846</v>
      </c>
      <c r="H109" s="2">
        <f t="shared" si="6"/>
        <v>138913.9583</v>
      </c>
    </row>
    <row r="110">
      <c r="B110" s="3">
        <f t="shared" si="1"/>
        <v>0.064</v>
      </c>
      <c r="C110" s="3">
        <f t="shared" si="2"/>
        <v>12</v>
      </c>
      <c r="D110" s="11">
        <f t="shared" si="3"/>
        <v>9</v>
      </c>
      <c r="E110" s="3">
        <f t="shared" si="7"/>
        <v>1000</v>
      </c>
      <c r="F110" s="2">
        <f t="shared" si="4"/>
        <v>740.874444</v>
      </c>
      <c r="G110" s="2">
        <f t="shared" si="5"/>
        <v>259.125556</v>
      </c>
      <c r="H110" s="2">
        <f t="shared" si="6"/>
        <v>138654.8327</v>
      </c>
    </row>
    <row r="111">
      <c r="B111" s="3">
        <f t="shared" si="1"/>
        <v>0.064</v>
      </c>
      <c r="C111" s="3">
        <f t="shared" si="2"/>
        <v>12</v>
      </c>
      <c r="D111" s="11">
        <f t="shared" si="3"/>
        <v>9.083333333</v>
      </c>
      <c r="E111" s="3">
        <f t="shared" si="7"/>
        <v>1000</v>
      </c>
      <c r="F111" s="2">
        <f t="shared" si="4"/>
        <v>739.4924411</v>
      </c>
      <c r="G111" s="2">
        <f t="shared" si="5"/>
        <v>260.5075589</v>
      </c>
      <c r="H111" s="2">
        <f t="shared" si="6"/>
        <v>138394.3251</v>
      </c>
    </row>
    <row r="112">
      <c r="B112" s="3">
        <f t="shared" si="1"/>
        <v>0.064</v>
      </c>
      <c r="C112" s="3">
        <f t="shared" si="2"/>
        <v>12</v>
      </c>
      <c r="D112" s="11">
        <f t="shared" si="3"/>
        <v>9.166666667</v>
      </c>
      <c r="E112" s="3">
        <f t="shared" si="7"/>
        <v>1000</v>
      </c>
      <c r="F112" s="2">
        <f t="shared" si="4"/>
        <v>738.1030674</v>
      </c>
      <c r="G112" s="2">
        <f t="shared" si="5"/>
        <v>261.8969326</v>
      </c>
      <c r="H112" s="2">
        <f t="shared" si="6"/>
        <v>138132.4282</v>
      </c>
    </row>
    <row r="113">
      <c r="B113" s="3">
        <f t="shared" si="1"/>
        <v>0.064</v>
      </c>
      <c r="C113" s="3">
        <f t="shared" si="2"/>
        <v>12</v>
      </c>
      <c r="D113" s="11">
        <f t="shared" si="3"/>
        <v>9.25</v>
      </c>
      <c r="E113" s="3">
        <f t="shared" si="7"/>
        <v>1000</v>
      </c>
      <c r="F113" s="2">
        <f t="shared" si="4"/>
        <v>736.7062838</v>
      </c>
      <c r="G113" s="2">
        <f t="shared" si="5"/>
        <v>263.2937162</v>
      </c>
      <c r="H113" s="2">
        <f t="shared" si="6"/>
        <v>137869.1345</v>
      </c>
    </row>
    <row r="114">
      <c r="B114" s="3">
        <f t="shared" si="1"/>
        <v>0.064</v>
      </c>
      <c r="C114" s="3">
        <f t="shared" si="2"/>
        <v>12</v>
      </c>
      <c r="D114" s="11">
        <f t="shared" si="3"/>
        <v>9.333333333</v>
      </c>
      <c r="E114" s="3">
        <f t="shared" si="7"/>
        <v>1000</v>
      </c>
      <c r="F114" s="2">
        <f t="shared" si="4"/>
        <v>735.3020506</v>
      </c>
      <c r="G114" s="2">
        <f t="shared" si="5"/>
        <v>264.6979494</v>
      </c>
      <c r="H114" s="2">
        <f t="shared" si="6"/>
        <v>137604.4365</v>
      </c>
    </row>
    <row r="115">
      <c r="B115" s="3">
        <f t="shared" si="1"/>
        <v>0.064</v>
      </c>
      <c r="C115" s="3">
        <f t="shared" si="2"/>
        <v>12</v>
      </c>
      <c r="D115" s="11">
        <f t="shared" si="3"/>
        <v>9.416666667</v>
      </c>
      <c r="E115" s="3">
        <f t="shared" si="7"/>
        <v>1000</v>
      </c>
      <c r="F115" s="2">
        <f t="shared" si="4"/>
        <v>733.8903282</v>
      </c>
      <c r="G115" s="2">
        <f t="shared" si="5"/>
        <v>266.1096718</v>
      </c>
      <c r="H115" s="2">
        <f t="shared" si="6"/>
        <v>137338.3269</v>
      </c>
    </row>
    <row r="116">
      <c r="B116" s="3">
        <f t="shared" si="1"/>
        <v>0.064</v>
      </c>
      <c r="C116" s="3">
        <f t="shared" si="2"/>
        <v>12</v>
      </c>
      <c r="D116" s="11">
        <f t="shared" si="3"/>
        <v>9.5</v>
      </c>
      <c r="E116" s="3">
        <f t="shared" si="7"/>
        <v>1000</v>
      </c>
      <c r="F116" s="2">
        <f t="shared" si="4"/>
        <v>732.4710766</v>
      </c>
      <c r="G116" s="2">
        <f t="shared" si="5"/>
        <v>267.5289234</v>
      </c>
      <c r="H116" s="2">
        <f t="shared" si="6"/>
        <v>137070.7979</v>
      </c>
    </row>
    <row r="117">
      <c r="B117" s="3">
        <f t="shared" si="1"/>
        <v>0.064</v>
      </c>
      <c r="C117" s="3">
        <f t="shared" si="2"/>
        <v>12</v>
      </c>
      <c r="D117" s="11">
        <f t="shared" si="3"/>
        <v>9.583333333</v>
      </c>
      <c r="E117" s="3">
        <f t="shared" si="7"/>
        <v>1000</v>
      </c>
      <c r="F117" s="2">
        <f t="shared" si="4"/>
        <v>731.0442557</v>
      </c>
      <c r="G117" s="2">
        <f t="shared" si="5"/>
        <v>268.9557443</v>
      </c>
      <c r="H117" s="2">
        <f t="shared" si="6"/>
        <v>136801.8422</v>
      </c>
    </row>
    <row r="118">
      <c r="B118" s="3">
        <f t="shared" si="1"/>
        <v>0.064</v>
      </c>
      <c r="C118" s="3">
        <f t="shared" si="2"/>
        <v>12</v>
      </c>
      <c r="D118" s="11">
        <f t="shared" si="3"/>
        <v>9.666666667</v>
      </c>
      <c r="E118" s="3">
        <f t="shared" si="7"/>
        <v>1000</v>
      </c>
      <c r="F118" s="2">
        <f t="shared" si="4"/>
        <v>729.6098251</v>
      </c>
      <c r="G118" s="2">
        <f t="shared" si="5"/>
        <v>270.3901749</v>
      </c>
      <c r="H118" s="2">
        <f t="shared" si="6"/>
        <v>136531.452</v>
      </c>
    </row>
    <row r="119">
      <c r="B119" s="3">
        <f t="shared" si="1"/>
        <v>0.064</v>
      </c>
      <c r="C119" s="3">
        <f t="shared" si="2"/>
        <v>12</v>
      </c>
      <c r="D119" s="11">
        <f t="shared" si="3"/>
        <v>9.75</v>
      </c>
      <c r="E119" s="3">
        <f t="shared" si="7"/>
        <v>1000</v>
      </c>
      <c r="F119" s="2">
        <f t="shared" si="4"/>
        <v>728.1677441</v>
      </c>
      <c r="G119" s="2">
        <f t="shared" si="5"/>
        <v>271.8322559</v>
      </c>
      <c r="H119" s="2">
        <f t="shared" si="6"/>
        <v>136259.6198</v>
      </c>
    </row>
    <row r="120">
      <c r="B120" s="3">
        <f t="shared" si="1"/>
        <v>0.064</v>
      </c>
      <c r="C120" s="3">
        <f t="shared" si="2"/>
        <v>12</v>
      </c>
      <c r="D120" s="11">
        <f t="shared" si="3"/>
        <v>9.833333333</v>
      </c>
      <c r="E120" s="3">
        <f t="shared" si="7"/>
        <v>1000</v>
      </c>
      <c r="F120" s="2">
        <f t="shared" si="4"/>
        <v>726.7179721</v>
      </c>
      <c r="G120" s="2">
        <f t="shared" si="5"/>
        <v>273.2820279</v>
      </c>
      <c r="H120" s="2">
        <f t="shared" si="6"/>
        <v>135986.3377</v>
      </c>
    </row>
    <row r="121">
      <c r="B121" s="3">
        <f t="shared" si="1"/>
        <v>0.064</v>
      </c>
      <c r="C121" s="3">
        <f t="shared" si="2"/>
        <v>12</v>
      </c>
      <c r="D121" s="11">
        <f t="shared" si="3"/>
        <v>9.916666667</v>
      </c>
      <c r="E121" s="3">
        <f t="shared" si="7"/>
        <v>1000</v>
      </c>
      <c r="F121" s="2">
        <f t="shared" si="4"/>
        <v>725.260468</v>
      </c>
      <c r="G121" s="2">
        <f t="shared" si="5"/>
        <v>274.739532</v>
      </c>
      <c r="H121" s="2">
        <f t="shared" si="6"/>
        <v>135711.5982</v>
      </c>
    </row>
    <row r="122">
      <c r="B122" s="3">
        <f t="shared" si="1"/>
        <v>0.064</v>
      </c>
      <c r="C122" s="3">
        <f t="shared" si="2"/>
        <v>12</v>
      </c>
      <c r="D122" s="11">
        <f t="shared" si="3"/>
        <v>10</v>
      </c>
      <c r="E122" s="3">
        <f t="shared" si="7"/>
        <v>1000</v>
      </c>
      <c r="F122" s="2">
        <f t="shared" si="4"/>
        <v>723.7951905</v>
      </c>
      <c r="G122" s="2">
        <f t="shared" si="5"/>
        <v>276.2048095</v>
      </c>
      <c r="H122" s="2">
        <f t="shared" si="6"/>
        <v>135435.3934</v>
      </c>
    </row>
    <row r="123">
      <c r="B123" s="3">
        <f t="shared" si="1"/>
        <v>0.064</v>
      </c>
      <c r="C123" s="3">
        <f t="shared" si="2"/>
        <v>12</v>
      </c>
      <c r="D123" s="11">
        <f t="shared" si="3"/>
        <v>10.08333333</v>
      </c>
      <c r="E123" s="3">
        <f t="shared" si="7"/>
        <v>1000</v>
      </c>
      <c r="F123" s="2">
        <f t="shared" si="4"/>
        <v>722.3220981</v>
      </c>
      <c r="G123" s="2">
        <f t="shared" si="5"/>
        <v>277.6779019</v>
      </c>
      <c r="H123" s="2">
        <f t="shared" si="6"/>
        <v>135157.7155</v>
      </c>
    </row>
    <row r="124">
      <c r="B124" s="3">
        <f t="shared" si="1"/>
        <v>0.064</v>
      </c>
      <c r="C124" s="3">
        <f t="shared" si="2"/>
        <v>12</v>
      </c>
      <c r="D124" s="11">
        <f t="shared" si="3"/>
        <v>10.16666667</v>
      </c>
      <c r="E124" s="3">
        <f t="shared" si="7"/>
        <v>1000</v>
      </c>
      <c r="F124" s="2">
        <f t="shared" si="4"/>
        <v>720.8411493</v>
      </c>
      <c r="G124" s="2">
        <f t="shared" si="5"/>
        <v>279.1588507</v>
      </c>
      <c r="H124" s="2">
        <f t="shared" si="6"/>
        <v>134878.5566</v>
      </c>
    </row>
    <row r="125">
      <c r="B125" s="3">
        <f t="shared" si="1"/>
        <v>0.064</v>
      </c>
      <c r="C125" s="3">
        <f t="shared" si="2"/>
        <v>12</v>
      </c>
      <c r="D125" s="11">
        <f t="shared" si="3"/>
        <v>10.25</v>
      </c>
      <c r="E125" s="3">
        <f t="shared" si="7"/>
        <v>1000</v>
      </c>
      <c r="F125" s="2">
        <f t="shared" si="4"/>
        <v>719.3523021</v>
      </c>
      <c r="G125" s="2">
        <f t="shared" si="5"/>
        <v>280.6476979</v>
      </c>
      <c r="H125" s="2">
        <f t="shared" si="6"/>
        <v>134597.909</v>
      </c>
    </row>
    <row r="126">
      <c r="B126" s="3">
        <f t="shared" si="1"/>
        <v>0.064</v>
      </c>
      <c r="C126" s="3">
        <f t="shared" si="2"/>
        <v>12</v>
      </c>
      <c r="D126" s="11">
        <f t="shared" si="3"/>
        <v>10.33333333</v>
      </c>
      <c r="E126" s="3">
        <f t="shared" si="7"/>
        <v>1000</v>
      </c>
      <c r="F126" s="2">
        <f t="shared" si="4"/>
        <v>717.8555144</v>
      </c>
      <c r="G126" s="2">
        <f t="shared" si="5"/>
        <v>282.1444856</v>
      </c>
      <c r="H126" s="2">
        <f t="shared" si="6"/>
        <v>134315.7645</v>
      </c>
    </row>
    <row r="127">
      <c r="B127" s="3">
        <f t="shared" si="1"/>
        <v>0.064</v>
      </c>
      <c r="C127" s="3">
        <f t="shared" si="2"/>
        <v>12</v>
      </c>
      <c r="D127" s="11">
        <f t="shared" si="3"/>
        <v>10.41666667</v>
      </c>
      <c r="E127" s="3">
        <f t="shared" si="7"/>
        <v>1000</v>
      </c>
      <c r="F127" s="2">
        <f t="shared" si="4"/>
        <v>716.3507438</v>
      </c>
      <c r="G127" s="2">
        <f t="shared" si="5"/>
        <v>283.6492562</v>
      </c>
      <c r="H127" s="2">
        <f t="shared" si="6"/>
        <v>134032.1152</v>
      </c>
    </row>
    <row r="128">
      <c r="B128" s="3">
        <f t="shared" si="1"/>
        <v>0.064</v>
      </c>
      <c r="C128" s="3">
        <f t="shared" si="2"/>
        <v>12</v>
      </c>
      <c r="D128" s="11">
        <f t="shared" si="3"/>
        <v>10.5</v>
      </c>
      <c r="E128" s="3">
        <f t="shared" si="7"/>
        <v>1000</v>
      </c>
      <c r="F128" s="2">
        <f t="shared" si="4"/>
        <v>714.8379478</v>
      </c>
      <c r="G128" s="2">
        <f t="shared" si="5"/>
        <v>285.1620522</v>
      </c>
      <c r="H128" s="2">
        <f t="shared" si="6"/>
        <v>133746.9532</v>
      </c>
    </row>
    <row r="129">
      <c r="B129" s="3">
        <f t="shared" si="1"/>
        <v>0.064</v>
      </c>
      <c r="C129" s="3">
        <f t="shared" si="2"/>
        <v>12</v>
      </c>
      <c r="D129" s="11">
        <f t="shared" si="3"/>
        <v>10.58333333</v>
      </c>
      <c r="E129" s="3">
        <f t="shared" si="7"/>
        <v>1000</v>
      </c>
      <c r="F129" s="2">
        <f t="shared" si="4"/>
        <v>713.3170835</v>
      </c>
      <c r="G129" s="2">
        <f t="shared" si="5"/>
        <v>286.6829165</v>
      </c>
      <c r="H129" s="2">
        <f t="shared" si="6"/>
        <v>133460.2702</v>
      </c>
    </row>
    <row r="130">
      <c r="B130" s="3">
        <f t="shared" si="1"/>
        <v>0.064</v>
      </c>
      <c r="C130" s="3">
        <f t="shared" si="2"/>
        <v>12</v>
      </c>
      <c r="D130" s="11">
        <f t="shared" si="3"/>
        <v>10.66666667</v>
      </c>
      <c r="E130" s="3">
        <f t="shared" si="7"/>
        <v>1000</v>
      </c>
      <c r="F130" s="2">
        <f t="shared" si="4"/>
        <v>711.788108</v>
      </c>
      <c r="G130" s="2">
        <f t="shared" si="5"/>
        <v>288.211892</v>
      </c>
      <c r="H130" s="2">
        <f t="shared" si="6"/>
        <v>133172.0583</v>
      </c>
    </row>
    <row r="131">
      <c r="B131" s="3">
        <f t="shared" si="1"/>
        <v>0.064</v>
      </c>
      <c r="C131" s="3">
        <f t="shared" si="2"/>
        <v>12</v>
      </c>
      <c r="D131" s="11">
        <f t="shared" si="3"/>
        <v>10.75</v>
      </c>
      <c r="E131" s="3">
        <f t="shared" si="7"/>
        <v>1000</v>
      </c>
      <c r="F131" s="2">
        <f t="shared" si="4"/>
        <v>710.2509779</v>
      </c>
      <c r="G131" s="2">
        <f t="shared" si="5"/>
        <v>289.7490221</v>
      </c>
      <c r="H131" s="2">
        <f t="shared" si="6"/>
        <v>132882.3093</v>
      </c>
    </row>
    <row r="132">
      <c r="B132" s="3">
        <f t="shared" si="1"/>
        <v>0.064</v>
      </c>
      <c r="C132" s="3">
        <f t="shared" si="2"/>
        <v>12</v>
      </c>
      <c r="D132" s="11">
        <f t="shared" si="3"/>
        <v>10.83333333</v>
      </c>
      <c r="E132" s="3">
        <f t="shared" si="7"/>
        <v>1000</v>
      </c>
      <c r="F132" s="2">
        <f t="shared" si="4"/>
        <v>708.7056497</v>
      </c>
      <c r="G132" s="2">
        <f t="shared" si="5"/>
        <v>291.2943503</v>
      </c>
      <c r="H132" s="2">
        <f t="shared" si="6"/>
        <v>132591.015</v>
      </c>
    </row>
    <row r="133">
      <c r="B133" s="3">
        <f t="shared" si="1"/>
        <v>0.064</v>
      </c>
      <c r="C133" s="3">
        <f t="shared" si="2"/>
        <v>12</v>
      </c>
      <c r="D133" s="11">
        <f t="shared" si="3"/>
        <v>10.91666667</v>
      </c>
      <c r="E133" s="3">
        <f t="shared" si="7"/>
        <v>1000</v>
      </c>
      <c r="F133" s="2">
        <f t="shared" si="4"/>
        <v>707.1520799</v>
      </c>
      <c r="G133" s="2">
        <f t="shared" si="5"/>
        <v>292.8479201</v>
      </c>
      <c r="H133" s="2">
        <f t="shared" si="6"/>
        <v>132298.1671</v>
      </c>
    </row>
    <row r="134">
      <c r="B134" s="3">
        <f t="shared" si="1"/>
        <v>0.064</v>
      </c>
      <c r="C134" s="3">
        <f t="shared" si="2"/>
        <v>12</v>
      </c>
      <c r="D134" s="11">
        <f t="shared" si="3"/>
        <v>11</v>
      </c>
      <c r="E134" s="3">
        <f t="shared" si="7"/>
        <v>1000</v>
      </c>
      <c r="F134" s="2">
        <f t="shared" si="4"/>
        <v>705.5902243</v>
      </c>
      <c r="G134" s="2">
        <f t="shared" si="5"/>
        <v>294.4097757</v>
      </c>
      <c r="H134" s="2">
        <f t="shared" si="6"/>
        <v>132003.7573</v>
      </c>
    </row>
    <row r="135">
      <c r="B135" s="3">
        <f t="shared" si="1"/>
        <v>0.064</v>
      </c>
      <c r="C135" s="3">
        <f t="shared" si="2"/>
        <v>12</v>
      </c>
      <c r="D135" s="11">
        <f t="shared" si="3"/>
        <v>11.08333333</v>
      </c>
      <c r="E135" s="3">
        <f t="shared" si="7"/>
        <v>1000</v>
      </c>
      <c r="F135" s="2">
        <f t="shared" si="4"/>
        <v>704.0200388</v>
      </c>
      <c r="G135" s="2">
        <f t="shared" si="5"/>
        <v>295.9799612</v>
      </c>
      <c r="H135" s="2">
        <f t="shared" si="6"/>
        <v>131707.7773</v>
      </c>
    </row>
    <row r="136">
      <c r="B136" s="3">
        <f t="shared" si="1"/>
        <v>0.064</v>
      </c>
      <c r="C136" s="3">
        <f t="shared" si="2"/>
        <v>12</v>
      </c>
      <c r="D136" s="11">
        <f t="shared" si="3"/>
        <v>11.16666667</v>
      </c>
      <c r="E136" s="3">
        <f t="shared" si="7"/>
        <v>1000</v>
      </c>
      <c r="F136" s="2">
        <f t="shared" si="4"/>
        <v>702.441479</v>
      </c>
      <c r="G136" s="2">
        <f t="shared" si="5"/>
        <v>297.558521</v>
      </c>
      <c r="H136" s="2">
        <f t="shared" si="6"/>
        <v>131410.2188</v>
      </c>
    </row>
    <row r="137">
      <c r="B137" s="3">
        <f t="shared" si="1"/>
        <v>0.064</v>
      </c>
      <c r="C137" s="3">
        <f t="shared" si="2"/>
        <v>12</v>
      </c>
      <c r="D137" s="11">
        <f t="shared" si="3"/>
        <v>11.25</v>
      </c>
      <c r="E137" s="3">
        <f t="shared" si="7"/>
        <v>1000</v>
      </c>
      <c r="F137" s="2">
        <f t="shared" si="4"/>
        <v>700.8545003</v>
      </c>
      <c r="G137" s="2">
        <f t="shared" si="5"/>
        <v>299.1454997</v>
      </c>
      <c r="H137" s="2">
        <f t="shared" si="6"/>
        <v>131111.0733</v>
      </c>
    </row>
    <row r="138">
      <c r="B138" s="3">
        <f t="shared" si="1"/>
        <v>0.064</v>
      </c>
      <c r="C138" s="3">
        <f t="shared" si="2"/>
        <v>12</v>
      </c>
      <c r="D138" s="11">
        <f t="shared" si="3"/>
        <v>11.33333333</v>
      </c>
      <c r="E138" s="3">
        <f t="shared" si="7"/>
        <v>1000</v>
      </c>
      <c r="F138" s="2">
        <f t="shared" si="4"/>
        <v>699.2590576</v>
      </c>
      <c r="G138" s="2">
        <f t="shared" si="5"/>
        <v>300.7409424</v>
      </c>
      <c r="H138" s="2">
        <f t="shared" si="6"/>
        <v>130810.3324</v>
      </c>
    </row>
    <row r="139">
      <c r="B139" s="3">
        <f t="shared" si="1"/>
        <v>0.064</v>
      </c>
      <c r="C139" s="3">
        <f t="shared" si="2"/>
        <v>12</v>
      </c>
      <c r="D139" s="11">
        <f t="shared" si="3"/>
        <v>11.41666667</v>
      </c>
      <c r="E139" s="3">
        <f t="shared" si="7"/>
        <v>1000</v>
      </c>
      <c r="F139" s="2">
        <f t="shared" si="4"/>
        <v>697.6551059</v>
      </c>
      <c r="G139" s="2">
        <f t="shared" si="5"/>
        <v>302.3448941</v>
      </c>
      <c r="H139" s="2">
        <f t="shared" si="6"/>
        <v>130507.9875</v>
      </c>
    </row>
    <row r="140">
      <c r="B140" s="3">
        <f t="shared" si="1"/>
        <v>0.064</v>
      </c>
      <c r="C140" s="3">
        <f t="shared" si="2"/>
        <v>12</v>
      </c>
      <c r="D140" s="11">
        <f t="shared" si="3"/>
        <v>11.5</v>
      </c>
      <c r="E140" s="3">
        <f t="shared" si="7"/>
        <v>1000</v>
      </c>
      <c r="F140" s="2">
        <f t="shared" si="4"/>
        <v>696.0425998</v>
      </c>
      <c r="G140" s="2">
        <f t="shared" si="5"/>
        <v>303.9574002</v>
      </c>
      <c r="H140" s="2">
        <f t="shared" si="6"/>
        <v>130204.0301</v>
      </c>
    </row>
    <row r="141">
      <c r="B141" s="3">
        <f t="shared" si="1"/>
        <v>0.064</v>
      </c>
      <c r="C141" s="3">
        <f t="shared" si="2"/>
        <v>12</v>
      </c>
      <c r="D141" s="11">
        <f t="shared" si="3"/>
        <v>11.58333333</v>
      </c>
      <c r="E141" s="3">
        <f t="shared" si="7"/>
        <v>1000</v>
      </c>
      <c r="F141" s="2">
        <f t="shared" si="4"/>
        <v>694.4214937</v>
      </c>
      <c r="G141" s="2">
        <f t="shared" si="5"/>
        <v>305.5785063</v>
      </c>
      <c r="H141" s="2">
        <f t="shared" si="6"/>
        <v>129898.4516</v>
      </c>
    </row>
    <row r="142">
      <c r="B142" s="3">
        <f t="shared" si="1"/>
        <v>0.064</v>
      </c>
      <c r="C142" s="3">
        <f t="shared" si="2"/>
        <v>12</v>
      </c>
      <c r="D142" s="11">
        <f t="shared" si="3"/>
        <v>11.66666667</v>
      </c>
      <c r="E142" s="3">
        <f t="shared" si="7"/>
        <v>1000</v>
      </c>
      <c r="F142" s="2">
        <f t="shared" si="4"/>
        <v>692.7917416</v>
      </c>
      <c r="G142" s="2">
        <f t="shared" si="5"/>
        <v>307.2082584</v>
      </c>
      <c r="H142" s="2">
        <f t="shared" si="6"/>
        <v>129591.2433</v>
      </c>
    </row>
    <row r="143">
      <c r="B143" s="3">
        <f t="shared" si="1"/>
        <v>0.064</v>
      </c>
      <c r="C143" s="3">
        <f t="shared" si="2"/>
        <v>12</v>
      </c>
      <c r="D143" s="11">
        <f t="shared" si="3"/>
        <v>11.75</v>
      </c>
      <c r="E143" s="3">
        <f t="shared" si="7"/>
        <v>1000</v>
      </c>
      <c r="F143" s="2">
        <f t="shared" si="4"/>
        <v>691.1532976</v>
      </c>
      <c r="G143" s="2">
        <f t="shared" si="5"/>
        <v>308.8467024</v>
      </c>
      <c r="H143" s="2">
        <f t="shared" si="6"/>
        <v>129282.3966</v>
      </c>
    </row>
    <row r="144">
      <c r="B144" s="3">
        <f t="shared" si="1"/>
        <v>0.064</v>
      </c>
      <c r="C144" s="3">
        <f t="shared" si="2"/>
        <v>12</v>
      </c>
      <c r="D144" s="11">
        <f t="shared" si="3"/>
        <v>11.83333333</v>
      </c>
      <c r="E144" s="3">
        <f t="shared" si="7"/>
        <v>1000</v>
      </c>
      <c r="F144" s="2">
        <f t="shared" si="4"/>
        <v>689.5061152</v>
      </c>
      <c r="G144" s="2">
        <f t="shared" si="5"/>
        <v>310.4938848</v>
      </c>
      <c r="H144" s="2">
        <f t="shared" si="6"/>
        <v>128971.9027</v>
      </c>
    </row>
    <row r="145">
      <c r="B145" s="3">
        <f t="shared" si="1"/>
        <v>0.064</v>
      </c>
      <c r="C145" s="3">
        <f t="shared" si="2"/>
        <v>12</v>
      </c>
      <c r="D145" s="11">
        <f t="shared" si="3"/>
        <v>11.91666667</v>
      </c>
      <c r="E145" s="3">
        <f t="shared" si="7"/>
        <v>1000</v>
      </c>
      <c r="F145" s="2">
        <f t="shared" si="4"/>
        <v>687.8501478</v>
      </c>
      <c r="G145" s="2">
        <f t="shared" si="5"/>
        <v>312.1498522</v>
      </c>
      <c r="H145" s="2">
        <f t="shared" si="6"/>
        <v>128659.7529</v>
      </c>
    </row>
    <row r="146">
      <c r="B146" s="3">
        <f t="shared" si="1"/>
        <v>0.064</v>
      </c>
      <c r="C146" s="3">
        <f t="shared" si="2"/>
        <v>12</v>
      </c>
      <c r="D146" s="11">
        <f t="shared" si="3"/>
        <v>12</v>
      </c>
      <c r="E146" s="3">
        <f t="shared" si="7"/>
        <v>1000</v>
      </c>
      <c r="F146" s="2">
        <f t="shared" si="4"/>
        <v>686.1853486</v>
      </c>
      <c r="G146" s="2">
        <f t="shared" si="5"/>
        <v>313.8146514</v>
      </c>
      <c r="H146" s="2">
        <f t="shared" si="6"/>
        <v>128345.9382</v>
      </c>
    </row>
    <row r="147">
      <c r="B147" s="3">
        <f t="shared" si="1"/>
        <v>0.064</v>
      </c>
      <c r="C147" s="3">
        <f t="shared" si="2"/>
        <v>12</v>
      </c>
      <c r="D147" s="11">
        <f t="shared" si="3"/>
        <v>12.08333333</v>
      </c>
      <c r="E147" s="3">
        <f t="shared" si="7"/>
        <v>1000</v>
      </c>
      <c r="F147" s="2">
        <f t="shared" si="4"/>
        <v>684.5116704</v>
      </c>
      <c r="G147" s="2">
        <f t="shared" si="5"/>
        <v>315.4883296</v>
      </c>
      <c r="H147" s="2">
        <f t="shared" si="6"/>
        <v>128030.4499</v>
      </c>
    </row>
    <row r="148">
      <c r="B148" s="3">
        <f t="shared" si="1"/>
        <v>0.064</v>
      </c>
      <c r="C148" s="3">
        <f t="shared" si="2"/>
        <v>12</v>
      </c>
      <c r="D148" s="11">
        <f t="shared" si="3"/>
        <v>12.16666667</v>
      </c>
      <c r="E148" s="3">
        <f t="shared" si="7"/>
        <v>1000</v>
      </c>
      <c r="F148" s="2">
        <f t="shared" si="4"/>
        <v>682.829066</v>
      </c>
      <c r="G148" s="2">
        <f t="shared" si="5"/>
        <v>317.170934</v>
      </c>
      <c r="H148" s="2">
        <f t="shared" si="6"/>
        <v>127713.2789</v>
      </c>
    </row>
    <row r="149">
      <c r="B149" s="3">
        <f t="shared" si="1"/>
        <v>0.064</v>
      </c>
      <c r="C149" s="3">
        <f t="shared" si="2"/>
        <v>12</v>
      </c>
      <c r="D149" s="11">
        <f t="shared" si="3"/>
        <v>12.25</v>
      </c>
      <c r="E149" s="3">
        <f t="shared" si="7"/>
        <v>1000</v>
      </c>
      <c r="F149" s="2">
        <f t="shared" si="4"/>
        <v>681.1374877</v>
      </c>
      <c r="G149" s="2">
        <f t="shared" si="5"/>
        <v>318.8625123</v>
      </c>
      <c r="H149" s="2">
        <f t="shared" si="6"/>
        <v>127394.4164</v>
      </c>
    </row>
    <row r="150">
      <c r="B150" s="3">
        <f t="shared" si="1"/>
        <v>0.064</v>
      </c>
      <c r="C150" s="3">
        <f t="shared" si="2"/>
        <v>12</v>
      </c>
      <c r="D150" s="11">
        <f t="shared" si="3"/>
        <v>12.33333333</v>
      </c>
      <c r="E150" s="3">
        <f t="shared" si="7"/>
        <v>1000</v>
      </c>
      <c r="F150" s="2">
        <f t="shared" si="4"/>
        <v>679.4368876</v>
      </c>
      <c r="G150" s="2">
        <f t="shared" si="5"/>
        <v>320.5631124</v>
      </c>
      <c r="H150" s="2">
        <f t="shared" si="6"/>
        <v>127073.8533</v>
      </c>
    </row>
    <row r="151">
      <c r="B151" s="3">
        <f t="shared" si="1"/>
        <v>0.064</v>
      </c>
      <c r="C151" s="3">
        <f t="shared" si="2"/>
        <v>12</v>
      </c>
      <c r="D151" s="11">
        <f t="shared" si="3"/>
        <v>12.41666667</v>
      </c>
      <c r="E151" s="3">
        <f t="shared" si="7"/>
        <v>1000</v>
      </c>
      <c r="F151" s="2">
        <f t="shared" si="4"/>
        <v>677.7272177</v>
      </c>
      <c r="G151" s="2">
        <f t="shared" si="5"/>
        <v>322.2727823</v>
      </c>
      <c r="H151" s="2">
        <f t="shared" si="6"/>
        <v>126751.5805</v>
      </c>
    </row>
    <row r="152">
      <c r="B152" s="3">
        <f t="shared" si="1"/>
        <v>0.064</v>
      </c>
      <c r="C152" s="3">
        <f t="shared" si="2"/>
        <v>12</v>
      </c>
      <c r="D152" s="11">
        <f t="shared" si="3"/>
        <v>12.5</v>
      </c>
      <c r="E152" s="3">
        <f t="shared" si="7"/>
        <v>1000</v>
      </c>
      <c r="F152" s="2">
        <f t="shared" si="4"/>
        <v>676.0084295</v>
      </c>
      <c r="G152" s="2">
        <f t="shared" si="5"/>
        <v>323.9915705</v>
      </c>
      <c r="H152" s="2">
        <f t="shared" si="6"/>
        <v>126427.589</v>
      </c>
    </row>
    <row r="153">
      <c r="B153" s="3">
        <f t="shared" si="1"/>
        <v>0.064</v>
      </c>
      <c r="C153" s="3">
        <f t="shared" si="2"/>
        <v>12</v>
      </c>
      <c r="D153" s="11">
        <f t="shared" si="3"/>
        <v>12.58333333</v>
      </c>
      <c r="E153" s="3">
        <f t="shared" si="7"/>
        <v>1000</v>
      </c>
      <c r="F153" s="2">
        <f t="shared" si="4"/>
        <v>674.2804745</v>
      </c>
      <c r="G153" s="2">
        <f t="shared" si="5"/>
        <v>325.7195255</v>
      </c>
      <c r="H153" s="2">
        <f t="shared" si="6"/>
        <v>126101.8694</v>
      </c>
    </row>
    <row r="154">
      <c r="B154" s="3">
        <f t="shared" si="1"/>
        <v>0.064</v>
      </c>
      <c r="C154" s="3">
        <f t="shared" si="2"/>
        <v>12</v>
      </c>
      <c r="D154" s="11">
        <f t="shared" si="3"/>
        <v>12.66666667</v>
      </c>
      <c r="E154" s="3">
        <f t="shared" si="7"/>
        <v>1000</v>
      </c>
      <c r="F154" s="2">
        <f t="shared" si="4"/>
        <v>672.5433037</v>
      </c>
      <c r="G154" s="2">
        <f t="shared" si="5"/>
        <v>327.4566963</v>
      </c>
      <c r="H154" s="2">
        <f t="shared" si="6"/>
        <v>125774.4127</v>
      </c>
    </row>
    <row r="155">
      <c r="B155" s="3">
        <f t="shared" si="1"/>
        <v>0.064</v>
      </c>
      <c r="C155" s="3">
        <f t="shared" si="2"/>
        <v>12</v>
      </c>
      <c r="D155" s="11">
        <f t="shared" si="3"/>
        <v>12.75</v>
      </c>
      <c r="E155" s="3">
        <f t="shared" si="7"/>
        <v>1000</v>
      </c>
      <c r="F155" s="2">
        <f t="shared" si="4"/>
        <v>670.796868</v>
      </c>
      <c r="G155" s="2">
        <f t="shared" si="5"/>
        <v>329.203132</v>
      </c>
      <c r="H155" s="2">
        <f t="shared" si="6"/>
        <v>125445.2096</v>
      </c>
    </row>
    <row r="156">
      <c r="B156" s="3">
        <f t="shared" si="1"/>
        <v>0.064</v>
      </c>
      <c r="C156" s="3">
        <f t="shared" si="2"/>
        <v>12</v>
      </c>
      <c r="D156" s="11">
        <f t="shared" si="3"/>
        <v>12.83333333</v>
      </c>
      <c r="E156" s="3">
        <f t="shared" si="7"/>
        <v>1000</v>
      </c>
      <c r="F156" s="2">
        <f t="shared" si="4"/>
        <v>669.0411179</v>
      </c>
      <c r="G156" s="2">
        <f t="shared" si="5"/>
        <v>330.9588821</v>
      </c>
      <c r="H156" s="2">
        <f t="shared" si="6"/>
        <v>125114.2507</v>
      </c>
    </row>
    <row r="157">
      <c r="B157" s="3">
        <f t="shared" si="1"/>
        <v>0.064</v>
      </c>
      <c r="C157" s="3">
        <f t="shared" si="2"/>
        <v>12</v>
      </c>
      <c r="D157" s="11">
        <f t="shared" si="3"/>
        <v>12.91666667</v>
      </c>
      <c r="E157" s="3">
        <f t="shared" si="7"/>
        <v>1000</v>
      </c>
      <c r="F157" s="2">
        <f t="shared" si="4"/>
        <v>667.2760039</v>
      </c>
      <c r="G157" s="2">
        <f t="shared" si="5"/>
        <v>332.7239961</v>
      </c>
      <c r="H157" s="2">
        <f t="shared" si="6"/>
        <v>124781.5267</v>
      </c>
    </row>
    <row r="158">
      <c r="B158" s="3">
        <f t="shared" si="1"/>
        <v>0.064</v>
      </c>
      <c r="C158" s="3">
        <f t="shared" si="2"/>
        <v>12</v>
      </c>
      <c r="D158" s="11">
        <f t="shared" si="3"/>
        <v>13</v>
      </c>
      <c r="E158" s="3">
        <f t="shared" si="7"/>
        <v>1000</v>
      </c>
      <c r="F158" s="2">
        <f t="shared" si="4"/>
        <v>665.5014759</v>
      </c>
      <c r="G158" s="2">
        <f t="shared" si="5"/>
        <v>334.4985241</v>
      </c>
      <c r="H158" s="2">
        <f t="shared" si="6"/>
        <v>124447.0282</v>
      </c>
    </row>
    <row r="159">
      <c r="B159" s="3">
        <f t="shared" si="1"/>
        <v>0.064</v>
      </c>
      <c r="C159" s="3">
        <f t="shared" si="2"/>
        <v>12</v>
      </c>
      <c r="D159" s="11">
        <f t="shared" si="3"/>
        <v>13.08333333</v>
      </c>
      <c r="E159" s="3">
        <f t="shared" si="7"/>
        <v>1000</v>
      </c>
      <c r="F159" s="2">
        <f t="shared" si="4"/>
        <v>663.7174838</v>
      </c>
      <c r="G159" s="2">
        <f t="shared" si="5"/>
        <v>336.2825162</v>
      </c>
      <c r="H159" s="2">
        <f t="shared" si="6"/>
        <v>124110.7457</v>
      </c>
    </row>
    <row r="160">
      <c r="B160" s="3">
        <f t="shared" si="1"/>
        <v>0.064</v>
      </c>
      <c r="C160" s="3">
        <f t="shared" si="2"/>
        <v>12</v>
      </c>
      <c r="D160" s="11">
        <f t="shared" si="3"/>
        <v>13.16666667</v>
      </c>
      <c r="E160" s="3">
        <f t="shared" si="7"/>
        <v>1000</v>
      </c>
      <c r="F160" s="2">
        <f t="shared" si="4"/>
        <v>661.923977</v>
      </c>
      <c r="G160" s="2">
        <f t="shared" si="5"/>
        <v>338.076023</v>
      </c>
      <c r="H160" s="2">
        <f t="shared" si="6"/>
        <v>123772.6697</v>
      </c>
    </row>
    <row r="161">
      <c r="B161" s="3">
        <f t="shared" si="1"/>
        <v>0.064</v>
      </c>
      <c r="C161" s="3">
        <f t="shared" si="2"/>
        <v>12</v>
      </c>
      <c r="D161" s="11">
        <f t="shared" si="3"/>
        <v>13.25</v>
      </c>
      <c r="E161" s="3">
        <f t="shared" si="7"/>
        <v>1000</v>
      </c>
      <c r="F161" s="2">
        <f t="shared" si="4"/>
        <v>660.1209049</v>
      </c>
      <c r="G161" s="2">
        <f t="shared" si="5"/>
        <v>339.8790951</v>
      </c>
      <c r="H161" s="2">
        <f t="shared" si="6"/>
        <v>123432.7906</v>
      </c>
    </row>
    <row r="162">
      <c r="B162" s="3">
        <f t="shared" si="1"/>
        <v>0.064</v>
      </c>
      <c r="C162" s="3">
        <f t="shared" si="2"/>
        <v>12</v>
      </c>
      <c r="D162" s="11">
        <f t="shared" si="3"/>
        <v>13.33333333</v>
      </c>
      <c r="E162" s="3">
        <f t="shared" si="7"/>
        <v>1000</v>
      </c>
      <c r="F162" s="2">
        <f t="shared" si="4"/>
        <v>658.3082164</v>
      </c>
      <c r="G162" s="2">
        <f t="shared" si="5"/>
        <v>341.6917836</v>
      </c>
      <c r="H162" s="2">
        <f t="shared" si="6"/>
        <v>123091.0988</v>
      </c>
    </row>
    <row r="163">
      <c r="B163" s="3">
        <f t="shared" si="1"/>
        <v>0.064</v>
      </c>
      <c r="C163" s="3">
        <f t="shared" si="2"/>
        <v>12</v>
      </c>
      <c r="D163" s="11">
        <f t="shared" si="3"/>
        <v>13.41666667</v>
      </c>
      <c r="E163" s="3">
        <f t="shared" si="7"/>
        <v>1000</v>
      </c>
      <c r="F163" s="2">
        <f t="shared" si="4"/>
        <v>656.4858602</v>
      </c>
      <c r="G163" s="2">
        <f t="shared" si="5"/>
        <v>343.5141398</v>
      </c>
      <c r="H163" s="2">
        <f t="shared" si="6"/>
        <v>122747.5847</v>
      </c>
    </row>
    <row r="164">
      <c r="B164" s="3">
        <f t="shared" si="1"/>
        <v>0.064</v>
      </c>
      <c r="C164" s="3">
        <f t="shared" si="2"/>
        <v>12</v>
      </c>
      <c r="D164" s="11">
        <f t="shared" si="3"/>
        <v>13.5</v>
      </c>
      <c r="E164" s="3">
        <f t="shared" si="7"/>
        <v>1000</v>
      </c>
      <c r="F164" s="2">
        <f t="shared" si="4"/>
        <v>654.6537848</v>
      </c>
      <c r="G164" s="2">
        <f t="shared" si="5"/>
        <v>345.3462152</v>
      </c>
      <c r="H164" s="2">
        <f t="shared" si="6"/>
        <v>122402.2384</v>
      </c>
    </row>
    <row r="165">
      <c r="B165" s="3">
        <f t="shared" si="1"/>
        <v>0.064</v>
      </c>
      <c r="C165" s="3">
        <f t="shared" si="2"/>
        <v>12</v>
      </c>
      <c r="D165" s="11">
        <f t="shared" si="3"/>
        <v>13.58333333</v>
      </c>
      <c r="E165" s="3">
        <f t="shared" si="7"/>
        <v>1000</v>
      </c>
      <c r="F165" s="2">
        <f t="shared" si="4"/>
        <v>652.8119383</v>
      </c>
      <c r="G165" s="2">
        <f t="shared" si="5"/>
        <v>347.1880617</v>
      </c>
      <c r="H165" s="2">
        <f t="shared" si="6"/>
        <v>122055.0504</v>
      </c>
    </row>
    <row r="166">
      <c r="B166" s="3">
        <f t="shared" si="1"/>
        <v>0.064</v>
      </c>
      <c r="C166" s="3">
        <f t="shared" si="2"/>
        <v>12</v>
      </c>
      <c r="D166" s="11">
        <f t="shared" si="3"/>
        <v>13.66666667</v>
      </c>
      <c r="E166" s="3">
        <f t="shared" si="7"/>
        <v>1000</v>
      </c>
      <c r="F166" s="2">
        <f t="shared" si="4"/>
        <v>650.9602687</v>
      </c>
      <c r="G166" s="2">
        <f t="shared" si="5"/>
        <v>349.0397313</v>
      </c>
      <c r="H166" s="2">
        <f t="shared" si="6"/>
        <v>121706.0106</v>
      </c>
    </row>
    <row r="167">
      <c r="B167" s="3">
        <f t="shared" si="1"/>
        <v>0.064</v>
      </c>
      <c r="C167" s="3">
        <f t="shared" si="2"/>
        <v>12</v>
      </c>
      <c r="D167" s="11">
        <f t="shared" si="3"/>
        <v>13.75</v>
      </c>
      <c r="E167" s="3">
        <f t="shared" si="7"/>
        <v>1000</v>
      </c>
      <c r="F167" s="2">
        <f t="shared" si="4"/>
        <v>649.0987234</v>
      </c>
      <c r="G167" s="2">
        <f t="shared" si="5"/>
        <v>350.9012766</v>
      </c>
      <c r="H167" s="2">
        <f t="shared" si="6"/>
        <v>121355.1094</v>
      </c>
    </row>
    <row r="168">
      <c r="B168" s="3">
        <f t="shared" si="1"/>
        <v>0.064</v>
      </c>
      <c r="C168" s="3">
        <f t="shared" si="2"/>
        <v>12</v>
      </c>
      <c r="D168" s="11">
        <f t="shared" si="3"/>
        <v>13.83333333</v>
      </c>
      <c r="E168" s="3">
        <f t="shared" si="7"/>
        <v>1000</v>
      </c>
      <c r="F168" s="2">
        <f t="shared" si="4"/>
        <v>647.22725</v>
      </c>
      <c r="G168" s="2">
        <f t="shared" si="5"/>
        <v>352.77275</v>
      </c>
      <c r="H168" s="2">
        <f t="shared" si="6"/>
        <v>121002.3366</v>
      </c>
    </row>
    <row r="169">
      <c r="B169" s="3">
        <f t="shared" si="1"/>
        <v>0.064</v>
      </c>
      <c r="C169" s="3">
        <f t="shared" si="2"/>
        <v>12</v>
      </c>
      <c r="D169" s="11">
        <f t="shared" si="3"/>
        <v>13.91666667</v>
      </c>
      <c r="E169" s="3">
        <f t="shared" si="7"/>
        <v>1000</v>
      </c>
      <c r="F169" s="2">
        <f t="shared" si="4"/>
        <v>645.3457953</v>
      </c>
      <c r="G169" s="2">
        <f t="shared" si="5"/>
        <v>354.6542047</v>
      </c>
      <c r="H169" s="2">
        <f t="shared" si="6"/>
        <v>120647.6824</v>
      </c>
    </row>
    <row r="170">
      <c r="B170" s="3">
        <f t="shared" si="1"/>
        <v>0.064</v>
      </c>
      <c r="C170" s="3">
        <f t="shared" si="2"/>
        <v>12</v>
      </c>
      <c r="D170" s="11">
        <f t="shared" si="3"/>
        <v>14</v>
      </c>
      <c r="E170" s="3">
        <f t="shared" si="7"/>
        <v>1000</v>
      </c>
      <c r="F170" s="2">
        <f t="shared" si="4"/>
        <v>643.4543062</v>
      </c>
      <c r="G170" s="2">
        <f t="shared" si="5"/>
        <v>356.5456938</v>
      </c>
      <c r="H170" s="2">
        <f t="shared" si="6"/>
        <v>120291.1367</v>
      </c>
    </row>
    <row r="171">
      <c r="B171" s="3">
        <f t="shared" si="1"/>
        <v>0.064</v>
      </c>
      <c r="C171" s="3">
        <f t="shared" si="2"/>
        <v>12</v>
      </c>
      <c r="D171" s="11">
        <f t="shared" si="3"/>
        <v>14.08333333</v>
      </c>
      <c r="E171" s="3">
        <f t="shared" si="7"/>
        <v>1000</v>
      </c>
      <c r="F171" s="2">
        <f t="shared" si="4"/>
        <v>641.5527292</v>
      </c>
      <c r="G171" s="2">
        <f t="shared" si="5"/>
        <v>358.4472708</v>
      </c>
      <c r="H171" s="2">
        <f t="shared" si="6"/>
        <v>119932.6894</v>
      </c>
    </row>
    <row r="172">
      <c r="B172" s="3">
        <f t="shared" si="1"/>
        <v>0.064</v>
      </c>
      <c r="C172" s="3">
        <f t="shared" si="2"/>
        <v>12</v>
      </c>
      <c r="D172" s="11">
        <f t="shared" si="3"/>
        <v>14.16666667</v>
      </c>
      <c r="E172" s="3">
        <f t="shared" si="7"/>
        <v>1000</v>
      </c>
      <c r="F172" s="2">
        <f t="shared" si="4"/>
        <v>639.6410104</v>
      </c>
      <c r="G172" s="2">
        <f t="shared" si="5"/>
        <v>360.3589896</v>
      </c>
      <c r="H172" s="2">
        <f t="shared" si="6"/>
        <v>119572.3305</v>
      </c>
    </row>
    <row r="173">
      <c r="B173" s="3">
        <f t="shared" si="1"/>
        <v>0.064</v>
      </c>
      <c r="C173" s="3">
        <f t="shared" si="2"/>
        <v>12</v>
      </c>
      <c r="D173" s="11">
        <f t="shared" si="3"/>
        <v>14.25</v>
      </c>
      <c r="E173" s="3">
        <f t="shared" si="7"/>
        <v>1000</v>
      </c>
      <c r="F173" s="2">
        <f t="shared" si="4"/>
        <v>637.7190958</v>
      </c>
      <c r="G173" s="2">
        <f t="shared" si="5"/>
        <v>362.2809042</v>
      </c>
      <c r="H173" s="2">
        <f t="shared" si="6"/>
        <v>119210.0496</v>
      </c>
    </row>
    <row r="174">
      <c r="B174" s="3">
        <f t="shared" si="1"/>
        <v>0.064</v>
      </c>
      <c r="C174" s="3">
        <f t="shared" si="2"/>
        <v>12</v>
      </c>
      <c r="D174" s="11">
        <f t="shared" si="3"/>
        <v>14.33333333</v>
      </c>
      <c r="E174" s="3">
        <f t="shared" si="7"/>
        <v>1000</v>
      </c>
      <c r="F174" s="2">
        <f t="shared" si="4"/>
        <v>635.786931</v>
      </c>
      <c r="G174" s="2">
        <f t="shared" si="5"/>
        <v>364.213069</v>
      </c>
      <c r="H174" s="2">
        <f t="shared" si="6"/>
        <v>118845.8365</v>
      </c>
    </row>
    <row r="175">
      <c r="B175" s="3">
        <f t="shared" si="1"/>
        <v>0.064</v>
      </c>
      <c r="C175" s="3">
        <f t="shared" si="2"/>
        <v>12</v>
      </c>
      <c r="D175" s="11">
        <f t="shared" si="3"/>
        <v>14.41666667</v>
      </c>
      <c r="E175" s="3">
        <f t="shared" si="7"/>
        <v>1000</v>
      </c>
      <c r="F175" s="2">
        <f t="shared" si="4"/>
        <v>633.8444612</v>
      </c>
      <c r="G175" s="2">
        <f t="shared" si="5"/>
        <v>366.1555388</v>
      </c>
      <c r="H175" s="2">
        <f t="shared" si="6"/>
        <v>118479.6809</v>
      </c>
    </row>
    <row r="176">
      <c r="B176" s="3">
        <f t="shared" si="1"/>
        <v>0.064</v>
      </c>
      <c r="C176" s="3">
        <f t="shared" si="2"/>
        <v>12</v>
      </c>
      <c r="D176" s="11">
        <f t="shared" si="3"/>
        <v>14.5</v>
      </c>
      <c r="E176" s="3">
        <f t="shared" si="7"/>
        <v>1000</v>
      </c>
      <c r="F176" s="2">
        <f t="shared" si="4"/>
        <v>631.8916317</v>
      </c>
      <c r="G176" s="2">
        <f t="shared" si="5"/>
        <v>368.1083683</v>
      </c>
      <c r="H176" s="2">
        <f t="shared" si="6"/>
        <v>118111.5726</v>
      </c>
    </row>
    <row r="177">
      <c r="B177" s="3">
        <f t="shared" si="1"/>
        <v>0.064</v>
      </c>
      <c r="C177" s="3">
        <f t="shared" si="2"/>
        <v>12</v>
      </c>
      <c r="D177" s="11">
        <f t="shared" si="3"/>
        <v>14.58333333</v>
      </c>
      <c r="E177" s="3">
        <f t="shared" si="7"/>
        <v>1000</v>
      </c>
      <c r="F177" s="2">
        <f t="shared" si="4"/>
        <v>629.9283871</v>
      </c>
      <c r="G177" s="2">
        <f t="shared" si="5"/>
        <v>370.0716129</v>
      </c>
      <c r="H177" s="2">
        <f t="shared" si="6"/>
        <v>117741.501</v>
      </c>
    </row>
    <row r="178">
      <c r="B178" s="3">
        <f t="shared" si="1"/>
        <v>0.064</v>
      </c>
      <c r="C178" s="3">
        <f t="shared" si="2"/>
        <v>12</v>
      </c>
      <c r="D178" s="11">
        <f t="shared" si="3"/>
        <v>14.66666667</v>
      </c>
      <c r="E178" s="3">
        <f t="shared" si="7"/>
        <v>1000</v>
      </c>
      <c r="F178" s="2">
        <f t="shared" si="4"/>
        <v>627.9546718</v>
      </c>
      <c r="G178" s="2">
        <f t="shared" si="5"/>
        <v>372.0453282</v>
      </c>
      <c r="H178" s="2">
        <f t="shared" si="6"/>
        <v>117369.4556</v>
      </c>
    </row>
    <row r="179">
      <c r="B179" s="3">
        <f t="shared" si="1"/>
        <v>0.064</v>
      </c>
      <c r="C179" s="3">
        <f t="shared" si="2"/>
        <v>12</v>
      </c>
      <c r="D179" s="11">
        <f t="shared" si="3"/>
        <v>14.75</v>
      </c>
      <c r="E179" s="3">
        <f t="shared" si="7"/>
        <v>1000</v>
      </c>
      <c r="F179" s="2">
        <f t="shared" si="4"/>
        <v>625.9704301</v>
      </c>
      <c r="G179" s="2">
        <f t="shared" si="5"/>
        <v>374.0295699</v>
      </c>
      <c r="H179" s="2">
        <f t="shared" si="6"/>
        <v>116995.4261</v>
      </c>
    </row>
    <row r="180">
      <c r="B180" s="3">
        <f t="shared" si="1"/>
        <v>0.064</v>
      </c>
      <c r="C180" s="3">
        <f t="shared" si="2"/>
        <v>12</v>
      </c>
      <c r="D180" s="11">
        <f t="shared" si="3"/>
        <v>14.83333333</v>
      </c>
      <c r="E180" s="3">
        <f t="shared" si="7"/>
        <v>1000</v>
      </c>
      <c r="F180" s="2">
        <f t="shared" si="4"/>
        <v>623.9756057</v>
      </c>
      <c r="G180" s="2">
        <f t="shared" si="5"/>
        <v>376.0243943</v>
      </c>
      <c r="H180" s="2">
        <f t="shared" si="6"/>
        <v>116619.4017</v>
      </c>
    </row>
    <row r="181">
      <c r="B181" s="3">
        <f t="shared" si="1"/>
        <v>0.064</v>
      </c>
      <c r="C181" s="3">
        <f t="shared" si="2"/>
        <v>12</v>
      </c>
      <c r="D181" s="11">
        <f t="shared" si="3"/>
        <v>14.91666667</v>
      </c>
      <c r="E181" s="3">
        <f t="shared" si="7"/>
        <v>1000</v>
      </c>
      <c r="F181" s="2">
        <f t="shared" si="4"/>
        <v>621.9701422</v>
      </c>
      <c r="G181" s="2">
        <f t="shared" si="5"/>
        <v>378.0298578</v>
      </c>
      <c r="H181" s="2">
        <f t="shared" si="6"/>
        <v>116241.3718</v>
      </c>
    </row>
    <row r="182">
      <c r="B182" s="3">
        <f t="shared" si="1"/>
        <v>0.064</v>
      </c>
      <c r="C182" s="3">
        <f t="shared" si="2"/>
        <v>12</v>
      </c>
      <c r="D182" s="11">
        <f t="shared" si="3"/>
        <v>15</v>
      </c>
      <c r="E182" s="3">
        <f t="shared" si="7"/>
        <v>1000</v>
      </c>
      <c r="F182" s="2">
        <f t="shared" si="4"/>
        <v>619.953983</v>
      </c>
      <c r="G182" s="2">
        <f t="shared" si="5"/>
        <v>380.046017</v>
      </c>
      <c r="H182" s="2">
        <f t="shared" si="6"/>
        <v>115861.3258</v>
      </c>
    </row>
    <row r="183">
      <c r="B183" s="3">
        <f t="shared" si="1"/>
        <v>0.064</v>
      </c>
      <c r="C183" s="3">
        <f t="shared" si="2"/>
        <v>12</v>
      </c>
      <c r="D183" s="11">
        <f t="shared" si="3"/>
        <v>15.08333333</v>
      </c>
      <c r="E183" s="3">
        <f t="shared" si="7"/>
        <v>1000</v>
      </c>
      <c r="F183" s="2">
        <f t="shared" si="4"/>
        <v>617.9270709</v>
      </c>
      <c r="G183" s="2">
        <f t="shared" si="5"/>
        <v>382.0729291</v>
      </c>
      <c r="H183" s="2">
        <f t="shared" si="6"/>
        <v>115479.2529</v>
      </c>
    </row>
    <row r="184">
      <c r="B184" s="3">
        <f t="shared" si="1"/>
        <v>0.064</v>
      </c>
      <c r="C184" s="3">
        <f t="shared" si="2"/>
        <v>12</v>
      </c>
      <c r="D184" s="11">
        <f t="shared" si="3"/>
        <v>15.16666667</v>
      </c>
      <c r="E184" s="3">
        <f t="shared" si="7"/>
        <v>1000</v>
      </c>
      <c r="F184" s="2">
        <f t="shared" si="4"/>
        <v>615.8893486</v>
      </c>
      <c r="G184" s="2">
        <f t="shared" si="5"/>
        <v>384.1106514</v>
      </c>
      <c r="H184" s="2">
        <f t="shared" si="6"/>
        <v>115095.1422</v>
      </c>
    </row>
    <row r="185">
      <c r="B185" s="3">
        <f t="shared" si="1"/>
        <v>0.064</v>
      </c>
      <c r="C185" s="3">
        <f t="shared" si="2"/>
        <v>12</v>
      </c>
      <c r="D185" s="11">
        <f t="shared" si="3"/>
        <v>15.25</v>
      </c>
      <c r="E185" s="3">
        <f t="shared" si="7"/>
        <v>1000</v>
      </c>
      <c r="F185" s="2">
        <f t="shared" si="4"/>
        <v>613.8407585</v>
      </c>
      <c r="G185" s="2">
        <f t="shared" si="5"/>
        <v>386.1592415</v>
      </c>
      <c r="H185" s="2">
        <f t="shared" si="6"/>
        <v>114708.983</v>
      </c>
    </row>
    <row r="186">
      <c r="B186" s="3">
        <f t="shared" si="1"/>
        <v>0.064</v>
      </c>
      <c r="C186" s="3">
        <f t="shared" si="2"/>
        <v>12</v>
      </c>
      <c r="D186" s="11">
        <f t="shared" si="3"/>
        <v>15.33333333</v>
      </c>
      <c r="E186" s="3">
        <f t="shared" si="7"/>
        <v>1000</v>
      </c>
      <c r="F186" s="2">
        <f t="shared" si="4"/>
        <v>611.7812425</v>
      </c>
      <c r="G186" s="2">
        <f t="shared" si="5"/>
        <v>388.2187575</v>
      </c>
      <c r="H186" s="2">
        <f t="shared" si="6"/>
        <v>114320.7642</v>
      </c>
    </row>
    <row r="187">
      <c r="B187" s="3">
        <f t="shared" si="1"/>
        <v>0.064</v>
      </c>
      <c r="C187" s="3">
        <f t="shared" si="2"/>
        <v>12</v>
      </c>
      <c r="D187" s="11">
        <f t="shared" si="3"/>
        <v>15.41666667</v>
      </c>
      <c r="E187" s="3">
        <f t="shared" si="7"/>
        <v>1000</v>
      </c>
      <c r="F187" s="2">
        <f t="shared" si="4"/>
        <v>609.7107425</v>
      </c>
      <c r="G187" s="2">
        <f t="shared" si="5"/>
        <v>390.2892575</v>
      </c>
      <c r="H187" s="2">
        <f t="shared" si="6"/>
        <v>113930.475</v>
      </c>
    </row>
    <row r="188">
      <c r="B188" s="3">
        <f t="shared" si="1"/>
        <v>0.064</v>
      </c>
      <c r="C188" s="3">
        <f t="shared" si="2"/>
        <v>12</v>
      </c>
      <c r="D188" s="11">
        <f t="shared" si="3"/>
        <v>15.5</v>
      </c>
      <c r="E188" s="3">
        <f t="shared" si="7"/>
        <v>1000</v>
      </c>
      <c r="F188" s="2">
        <f t="shared" si="4"/>
        <v>607.6291998</v>
      </c>
      <c r="G188" s="2">
        <f t="shared" si="5"/>
        <v>392.3708002</v>
      </c>
      <c r="H188" s="2">
        <f t="shared" si="6"/>
        <v>113538.1042</v>
      </c>
    </row>
    <row r="189">
      <c r="B189" s="3">
        <f t="shared" si="1"/>
        <v>0.064</v>
      </c>
      <c r="C189" s="3">
        <f t="shared" si="2"/>
        <v>12</v>
      </c>
      <c r="D189" s="11">
        <f t="shared" si="3"/>
        <v>15.58333333</v>
      </c>
      <c r="E189" s="3">
        <f t="shared" si="7"/>
        <v>1000</v>
      </c>
      <c r="F189" s="2">
        <f t="shared" si="4"/>
        <v>605.5365555</v>
      </c>
      <c r="G189" s="2">
        <f t="shared" si="5"/>
        <v>394.4634445</v>
      </c>
      <c r="H189" s="2">
        <f t="shared" si="6"/>
        <v>113143.6407</v>
      </c>
    </row>
    <row r="190">
      <c r="B190" s="3">
        <f t="shared" si="1"/>
        <v>0.064</v>
      </c>
      <c r="C190" s="3">
        <f t="shared" si="2"/>
        <v>12</v>
      </c>
      <c r="D190" s="11">
        <f t="shared" si="3"/>
        <v>15.66666667</v>
      </c>
      <c r="E190" s="3">
        <f t="shared" si="7"/>
        <v>1000</v>
      </c>
      <c r="F190" s="2">
        <f t="shared" si="4"/>
        <v>603.4327505</v>
      </c>
      <c r="G190" s="2">
        <f t="shared" si="5"/>
        <v>396.5672495</v>
      </c>
      <c r="H190" s="2">
        <f t="shared" si="6"/>
        <v>112747.0735</v>
      </c>
    </row>
    <row r="191">
      <c r="B191" s="3">
        <f t="shared" si="1"/>
        <v>0.064</v>
      </c>
      <c r="C191" s="3">
        <f t="shared" si="2"/>
        <v>12</v>
      </c>
      <c r="D191" s="11">
        <f t="shared" si="3"/>
        <v>15.75</v>
      </c>
      <c r="E191" s="3">
        <f t="shared" si="7"/>
        <v>1000</v>
      </c>
      <c r="F191" s="2">
        <f t="shared" si="4"/>
        <v>601.3177252</v>
      </c>
      <c r="G191" s="2">
        <f t="shared" si="5"/>
        <v>398.6822748</v>
      </c>
      <c r="H191" s="2">
        <f t="shared" si="6"/>
        <v>112348.3912</v>
      </c>
    </row>
    <row r="192">
      <c r="B192" s="3">
        <f t="shared" si="1"/>
        <v>0.064</v>
      </c>
      <c r="C192" s="3">
        <f t="shared" si="2"/>
        <v>12</v>
      </c>
      <c r="D192" s="11">
        <f t="shared" si="3"/>
        <v>15.83333333</v>
      </c>
      <c r="E192" s="3">
        <f t="shared" si="7"/>
        <v>1000</v>
      </c>
      <c r="F192" s="2">
        <f t="shared" si="4"/>
        <v>599.1914197</v>
      </c>
      <c r="G192" s="2">
        <f t="shared" si="5"/>
        <v>400.8085803</v>
      </c>
      <c r="H192" s="2">
        <f t="shared" si="6"/>
        <v>111947.5826</v>
      </c>
    </row>
    <row r="193">
      <c r="B193" s="3">
        <f t="shared" si="1"/>
        <v>0.064</v>
      </c>
      <c r="C193" s="3">
        <f t="shared" si="2"/>
        <v>12</v>
      </c>
      <c r="D193" s="11">
        <f t="shared" si="3"/>
        <v>15.91666667</v>
      </c>
      <c r="E193" s="3">
        <f t="shared" si="7"/>
        <v>1000</v>
      </c>
      <c r="F193" s="2">
        <f t="shared" si="4"/>
        <v>597.0537739</v>
      </c>
      <c r="G193" s="2">
        <f t="shared" si="5"/>
        <v>402.9462261</v>
      </c>
      <c r="H193" s="2">
        <f t="shared" si="6"/>
        <v>111544.6364</v>
      </c>
    </row>
    <row r="194">
      <c r="B194" s="3">
        <f t="shared" si="1"/>
        <v>0.064</v>
      </c>
      <c r="C194" s="3">
        <f t="shared" si="2"/>
        <v>12</v>
      </c>
      <c r="D194" s="11">
        <f t="shared" si="3"/>
        <v>16</v>
      </c>
      <c r="E194" s="3">
        <f t="shared" si="7"/>
        <v>1000</v>
      </c>
      <c r="F194" s="2">
        <f t="shared" si="4"/>
        <v>594.9047274</v>
      </c>
      <c r="G194" s="2">
        <f t="shared" si="5"/>
        <v>405.0952726</v>
      </c>
      <c r="H194" s="2">
        <f t="shared" si="6"/>
        <v>111139.5411</v>
      </c>
    </row>
    <row r="195">
      <c r="B195" s="3">
        <f t="shared" si="1"/>
        <v>0.064</v>
      </c>
      <c r="C195" s="3">
        <f t="shared" si="2"/>
        <v>12</v>
      </c>
      <c r="D195" s="11">
        <f t="shared" si="3"/>
        <v>16.08333333</v>
      </c>
      <c r="E195" s="3">
        <f t="shared" si="7"/>
        <v>1000</v>
      </c>
      <c r="F195" s="2">
        <f t="shared" si="4"/>
        <v>592.7442193</v>
      </c>
      <c r="G195" s="2">
        <f t="shared" si="5"/>
        <v>407.2557807</v>
      </c>
      <c r="H195" s="2">
        <f t="shared" si="6"/>
        <v>110732.2853</v>
      </c>
    </row>
    <row r="196">
      <c r="B196" s="3">
        <f t="shared" si="1"/>
        <v>0.064</v>
      </c>
      <c r="C196" s="3">
        <f t="shared" si="2"/>
        <v>12</v>
      </c>
      <c r="D196" s="11">
        <f t="shared" si="3"/>
        <v>16.16666667</v>
      </c>
      <c r="E196" s="3">
        <f t="shared" si="7"/>
        <v>1000</v>
      </c>
      <c r="F196" s="2">
        <f t="shared" si="4"/>
        <v>590.5721884</v>
      </c>
      <c r="G196" s="2">
        <f t="shared" si="5"/>
        <v>409.4278116</v>
      </c>
      <c r="H196" s="2">
        <f t="shared" si="6"/>
        <v>110322.8575</v>
      </c>
    </row>
    <row r="197">
      <c r="B197" s="3">
        <f t="shared" si="1"/>
        <v>0.064</v>
      </c>
      <c r="C197" s="3">
        <f t="shared" si="2"/>
        <v>12</v>
      </c>
      <c r="D197" s="11">
        <f t="shared" si="3"/>
        <v>16.25</v>
      </c>
      <c r="E197" s="3">
        <f t="shared" si="7"/>
        <v>1000</v>
      </c>
      <c r="F197" s="2">
        <f t="shared" si="4"/>
        <v>588.3885734</v>
      </c>
      <c r="G197" s="2">
        <f t="shared" si="5"/>
        <v>411.6114266</v>
      </c>
      <c r="H197" s="2">
        <f t="shared" si="6"/>
        <v>109911.2461</v>
      </c>
    </row>
    <row r="198">
      <c r="B198" s="3">
        <f t="shared" si="1"/>
        <v>0.064</v>
      </c>
      <c r="C198" s="3">
        <f t="shared" si="2"/>
        <v>12</v>
      </c>
      <c r="D198" s="11">
        <f t="shared" si="3"/>
        <v>16.33333333</v>
      </c>
      <c r="E198" s="3">
        <f t="shared" si="7"/>
        <v>1000</v>
      </c>
      <c r="F198" s="2">
        <f t="shared" si="4"/>
        <v>586.1933125</v>
      </c>
      <c r="G198" s="2">
        <f t="shared" si="5"/>
        <v>413.8066875</v>
      </c>
      <c r="H198" s="2">
        <f t="shared" si="6"/>
        <v>109497.4394</v>
      </c>
    </row>
    <row r="199">
      <c r="B199" s="3">
        <f t="shared" si="1"/>
        <v>0.064</v>
      </c>
      <c r="C199" s="3">
        <f t="shared" si="2"/>
        <v>12</v>
      </c>
      <c r="D199" s="11">
        <f t="shared" si="3"/>
        <v>16.41666667</v>
      </c>
      <c r="E199" s="3">
        <f t="shared" si="7"/>
        <v>1000</v>
      </c>
      <c r="F199" s="2">
        <f t="shared" si="4"/>
        <v>583.9863435</v>
      </c>
      <c r="G199" s="2">
        <f t="shared" si="5"/>
        <v>416.0136565</v>
      </c>
      <c r="H199" s="2">
        <f t="shared" si="6"/>
        <v>109081.4257</v>
      </c>
    </row>
    <row r="200">
      <c r="B200" s="3">
        <f t="shared" si="1"/>
        <v>0.064</v>
      </c>
      <c r="C200" s="3">
        <f t="shared" si="2"/>
        <v>12</v>
      </c>
      <c r="D200" s="11">
        <f t="shared" si="3"/>
        <v>16.5</v>
      </c>
      <c r="E200" s="3">
        <f t="shared" si="7"/>
        <v>1000</v>
      </c>
      <c r="F200" s="2">
        <f t="shared" si="4"/>
        <v>581.767604</v>
      </c>
      <c r="G200" s="2">
        <f t="shared" si="5"/>
        <v>418.232396</v>
      </c>
      <c r="H200" s="2">
        <f t="shared" si="6"/>
        <v>108663.1934</v>
      </c>
    </row>
    <row r="201">
      <c r="B201" s="3">
        <f t="shared" si="1"/>
        <v>0.064</v>
      </c>
      <c r="C201" s="3">
        <f t="shared" si="2"/>
        <v>12</v>
      </c>
      <c r="D201" s="11">
        <f t="shared" si="3"/>
        <v>16.58333333</v>
      </c>
      <c r="E201" s="3">
        <f t="shared" si="7"/>
        <v>1000</v>
      </c>
      <c r="F201" s="2">
        <f t="shared" si="4"/>
        <v>579.5370312</v>
      </c>
      <c r="G201" s="2">
        <f t="shared" si="5"/>
        <v>420.4629688</v>
      </c>
      <c r="H201" s="2">
        <f t="shared" si="6"/>
        <v>108242.7304</v>
      </c>
    </row>
    <row r="202">
      <c r="B202" s="3">
        <f t="shared" si="1"/>
        <v>0.064</v>
      </c>
      <c r="C202" s="3">
        <f t="shared" si="2"/>
        <v>12</v>
      </c>
      <c r="D202" s="11">
        <f t="shared" si="3"/>
        <v>16.66666667</v>
      </c>
      <c r="E202" s="3">
        <f t="shared" si="7"/>
        <v>1000</v>
      </c>
      <c r="F202" s="2">
        <f t="shared" si="4"/>
        <v>577.2945621</v>
      </c>
      <c r="G202" s="2">
        <f t="shared" si="5"/>
        <v>422.7054379</v>
      </c>
      <c r="H202" s="2">
        <f t="shared" si="6"/>
        <v>107820.0249</v>
      </c>
    </row>
    <row r="203">
      <c r="B203" s="3">
        <f t="shared" si="1"/>
        <v>0.064</v>
      </c>
      <c r="C203" s="3">
        <f t="shared" si="2"/>
        <v>12</v>
      </c>
      <c r="D203" s="11">
        <f t="shared" si="3"/>
        <v>16.75</v>
      </c>
      <c r="E203" s="3">
        <f t="shared" si="7"/>
        <v>1000</v>
      </c>
      <c r="F203" s="2">
        <f t="shared" si="4"/>
        <v>575.040133</v>
      </c>
      <c r="G203" s="2">
        <f t="shared" si="5"/>
        <v>424.959867</v>
      </c>
      <c r="H203" s="2">
        <f t="shared" si="6"/>
        <v>107395.0651</v>
      </c>
    </row>
    <row r="204">
      <c r="B204" s="3">
        <f t="shared" si="1"/>
        <v>0.064</v>
      </c>
      <c r="C204" s="3">
        <f t="shared" si="2"/>
        <v>12</v>
      </c>
      <c r="D204" s="11">
        <f t="shared" si="3"/>
        <v>16.83333333</v>
      </c>
      <c r="E204" s="3">
        <f t="shared" si="7"/>
        <v>1000</v>
      </c>
      <c r="F204" s="2">
        <f t="shared" si="4"/>
        <v>572.7736804</v>
      </c>
      <c r="G204" s="2">
        <f t="shared" si="5"/>
        <v>427.2263196</v>
      </c>
      <c r="H204" s="2">
        <f t="shared" si="6"/>
        <v>106967.8388</v>
      </c>
    </row>
    <row r="205">
      <c r="B205" s="3">
        <f t="shared" si="1"/>
        <v>0.064</v>
      </c>
      <c r="C205" s="3">
        <f t="shared" si="2"/>
        <v>12</v>
      </c>
      <c r="D205" s="11">
        <f t="shared" si="3"/>
        <v>16.91666667</v>
      </c>
      <c r="E205" s="3">
        <f t="shared" si="7"/>
        <v>1000</v>
      </c>
      <c r="F205" s="2">
        <f t="shared" si="4"/>
        <v>570.4951401</v>
      </c>
      <c r="G205" s="2">
        <f t="shared" si="5"/>
        <v>429.5048599</v>
      </c>
      <c r="H205" s="2">
        <f t="shared" si="6"/>
        <v>106538.3339</v>
      </c>
    </row>
    <row r="206">
      <c r="B206" s="3">
        <f t="shared" si="1"/>
        <v>0.064</v>
      </c>
      <c r="C206" s="3">
        <f t="shared" si="2"/>
        <v>12</v>
      </c>
      <c r="D206" s="11">
        <f t="shared" si="3"/>
        <v>17</v>
      </c>
      <c r="E206" s="3">
        <f t="shared" si="7"/>
        <v>1000</v>
      </c>
      <c r="F206" s="2">
        <f t="shared" si="4"/>
        <v>568.2044475</v>
      </c>
      <c r="G206" s="2">
        <f t="shared" si="5"/>
        <v>431.7955525</v>
      </c>
      <c r="H206" s="2">
        <f t="shared" si="6"/>
        <v>106106.5383</v>
      </c>
    </row>
    <row r="207">
      <c r="B207" s="3">
        <f t="shared" si="1"/>
        <v>0.064</v>
      </c>
      <c r="C207" s="3">
        <f t="shared" si="2"/>
        <v>12</v>
      </c>
      <c r="D207" s="11">
        <f t="shared" si="3"/>
        <v>17.08333333</v>
      </c>
      <c r="E207" s="3">
        <f t="shared" si="7"/>
        <v>1000</v>
      </c>
      <c r="F207" s="2">
        <f t="shared" si="4"/>
        <v>565.9015379</v>
      </c>
      <c r="G207" s="2">
        <f t="shared" si="5"/>
        <v>434.0984621</v>
      </c>
      <c r="H207" s="2">
        <f t="shared" si="6"/>
        <v>105672.4399</v>
      </c>
    </row>
    <row r="208">
      <c r="B208" s="3">
        <f t="shared" si="1"/>
        <v>0.064</v>
      </c>
      <c r="C208" s="3">
        <f t="shared" si="2"/>
        <v>12</v>
      </c>
      <c r="D208" s="11">
        <f t="shared" si="3"/>
        <v>17.16666667</v>
      </c>
      <c r="E208" s="3">
        <f t="shared" si="7"/>
        <v>1000</v>
      </c>
      <c r="F208" s="2">
        <f t="shared" si="4"/>
        <v>563.5863461</v>
      </c>
      <c r="G208" s="2">
        <f t="shared" si="5"/>
        <v>436.4136539</v>
      </c>
      <c r="H208" s="2">
        <f t="shared" si="6"/>
        <v>105236.0262</v>
      </c>
    </row>
    <row r="209">
      <c r="B209" s="3">
        <f t="shared" si="1"/>
        <v>0.064</v>
      </c>
      <c r="C209" s="3">
        <f t="shared" si="2"/>
        <v>12</v>
      </c>
      <c r="D209" s="11">
        <f t="shared" si="3"/>
        <v>17.25</v>
      </c>
      <c r="E209" s="3">
        <f t="shared" si="7"/>
        <v>1000</v>
      </c>
      <c r="F209" s="2">
        <f t="shared" si="4"/>
        <v>561.2588066</v>
      </c>
      <c r="G209" s="2">
        <f t="shared" si="5"/>
        <v>438.7411934</v>
      </c>
      <c r="H209" s="2">
        <f t="shared" si="6"/>
        <v>104797.285</v>
      </c>
    </row>
    <row r="210">
      <c r="B210" s="3">
        <f t="shared" si="1"/>
        <v>0.064</v>
      </c>
      <c r="C210" s="3">
        <f t="shared" si="2"/>
        <v>12</v>
      </c>
      <c r="D210" s="11">
        <f t="shared" si="3"/>
        <v>17.33333333</v>
      </c>
      <c r="E210" s="3">
        <f t="shared" si="7"/>
        <v>1000</v>
      </c>
      <c r="F210" s="2">
        <f t="shared" si="4"/>
        <v>558.9188535</v>
      </c>
      <c r="G210" s="2">
        <f t="shared" si="5"/>
        <v>441.0811465</v>
      </c>
      <c r="H210" s="2">
        <f t="shared" si="6"/>
        <v>104356.2039</v>
      </c>
    </row>
    <row r="211">
      <c r="B211" s="3">
        <f t="shared" si="1"/>
        <v>0.064</v>
      </c>
      <c r="C211" s="3">
        <f t="shared" si="2"/>
        <v>12</v>
      </c>
      <c r="D211" s="11">
        <f t="shared" si="3"/>
        <v>17.41666667</v>
      </c>
      <c r="E211" s="3">
        <f t="shared" si="7"/>
        <v>1000</v>
      </c>
      <c r="F211" s="2">
        <f t="shared" si="4"/>
        <v>556.5664208</v>
      </c>
      <c r="G211" s="2">
        <f t="shared" si="5"/>
        <v>443.4335792</v>
      </c>
      <c r="H211" s="2">
        <f t="shared" si="6"/>
        <v>103912.7703</v>
      </c>
    </row>
    <row r="212">
      <c r="B212" s="3">
        <f t="shared" si="1"/>
        <v>0.064</v>
      </c>
      <c r="C212" s="3">
        <f t="shared" si="2"/>
        <v>12</v>
      </c>
      <c r="D212" s="11">
        <f t="shared" si="3"/>
        <v>17.5</v>
      </c>
      <c r="E212" s="3">
        <f t="shared" si="7"/>
        <v>1000</v>
      </c>
      <c r="F212" s="2">
        <f t="shared" si="4"/>
        <v>554.2014417</v>
      </c>
      <c r="G212" s="2">
        <f t="shared" si="5"/>
        <v>445.7985583</v>
      </c>
      <c r="H212" s="2">
        <f t="shared" si="6"/>
        <v>103466.9718</v>
      </c>
    </row>
    <row r="213">
      <c r="B213" s="3">
        <f t="shared" si="1"/>
        <v>0.064</v>
      </c>
      <c r="C213" s="3">
        <f t="shared" si="2"/>
        <v>12</v>
      </c>
      <c r="D213" s="11">
        <f t="shared" si="3"/>
        <v>17.58333333</v>
      </c>
      <c r="E213" s="3">
        <f t="shared" si="7"/>
        <v>1000</v>
      </c>
      <c r="F213" s="2">
        <f t="shared" si="4"/>
        <v>551.8238494</v>
      </c>
      <c r="G213" s="2">
        <f t="shared" si="5"/>
        <v>448.1761506</v>
      </c>
      <c r="H213" s="2">
        <f t="shared" si="6"/>
        <v>103018.7956</v>
      </c>
    </row>
    <row r="214">
      <c r="B214" s="3">
        <f t="shared" si="1"/>
        <v>0.064</v>
      </c>
      <c r="C214" s="3">
        <f t="shared" si="2"/>
        <v>12</v>
      </c>
      <c r="D214" s="11">
        <f t="shared" si="3"/>
        <v>17.66666667</v>
      </c>
      <c r="E214" s="3">
        <f t="shared" si="7"/>
        <v>1000</v>
      </c>
      <c r="F214" s="2">
        <f t="shared" si="4"/>
        <v>549.4335766</v>
      </c>
      <c r="G214" s="2">
        <f t="shared" si="5"/>
        <v>450.5664234</v>
      </c>
      <c r="H214" s="2">
        <f t="shared" si="6"/>
        <v>102568.2292</v>
      </c>
    </row>
    <row r="215">
      <c r="B215" s="3">
        <f t="shared" si="1"/>
        <v>0.064</v>
      </c>
      <c r="C215" s="3">
        <f t="shared" si="2"/>
        <v>12</v>
      </c>
      <c r="D215" s="11">
        <f t="shared" si="3"/>
        <v>17.75</v>
      </c>
      <c r="E215" s="3">
        <f t="shared" si="7"/>
        <v>1000</v>
      </c>
      <c r="F215" s="2">
        <f t="shared" si="4"/>
        <v>547.0305556</v>
      </c>
      <c r="G215" s="2">
        <f t="shared" si="5"/>
        <v>452.9694444</v>
      </c>
      <c r="H215" s="2">
        <f t="shared" si="6"/>
        <v>102115.2597</v>
      </c>
    </row>
    <row r="216">
      <c r="B216" s="3">
        <f t="shared" si="1"/>
        <v>0.064</v>
      </c>
      <c r="C216" s="3">
        <f t="shared" si="2"/>
        <v>12</v>
      </c>
      <c r="D216" s="11">
        <f t="shared" si="3"/>
        <v>17.83333333</v>
      </c>
      <c r="E216" s="3">
        <f t="shared" si="7"/>
        <v>1000</v>
      </c>
      <c r="F216" s="2">
        <f t="shared" si="4"/>
        <v>544.6147186</v>
      </c>
      <c r="G216" s="2">
        <f t="shared" si="5"/>
        <v>455.3852814</v>
      </c>
      <c r="H216" s="2">
        <f t="shared" si="6"/>
        <v>101659.8745</v>
      </c>
    </row>
    <row r="217">
      <c r="B217" s="3">
        <f t="shared" si="1"/>
        <v>0.064</v>
      </c>
      <c r="C217" s="3">
        <f t="shared" si="2"/>
        <v>12</v>
      </c>
      <c r="D217" s="11">
        <f t="shared" si="3"/>
        <v>17.91666667</v>
      </c>
      <c r="E217" s="3">
        <f t="shared" si="7"/>
        <v>1000</v>
      </c>
      <c r="F217" s="2">
        <f t="shared" si="4"/>
        <v>542.1859971</v>
      </c>
      <c r="G217" s="2">
        <f t="shared" si="5"/>
        <v>457.8140029</v>
      </c>
      <c r="H217" s="2">
        <f t="shared" si="6"/>
        <v>101202.0605</v>
      </c>
    </row>
    <row r="218">
      <c r="B218" s="3">
        <f t="shared" si="1"/>
        <v>0.064</v>
      </c>
      <c r="C218" s="3">
        <f t="shared" si="2"/>
        <v>12</v>
      </c>
      <c r="D218" s="11">
        <f t="shared" si="3"/>
        <v>18</v>
      </c>
      <c r="E218" s="3">
        <f t="shared" si="7"/>
        <v>1000</v>
      </c>
      <c r="F218" s="2">
        <f t="shared" si="4"/>
        <v>539.7443224</v>
      </c>
      <c r="G218" s="2">
        <f t="shared" si="5"/>
        <v>460.2556776</v>
      </c>
      <c r="H218" s="2">
        <f t="shared" si="6"/>
        <v>100741.8048</v>
      </c>
    </row>
    <row r="219">
      <c r="B219" s="3">
        <f t="shared" si="1"/>
        <v>0.064</v>
      </c>
      <c r="C219" s="3">
        <f t="shared" si="2"/>
        <v>12</v>
      </c>
      <c r="D219" s="11">
        <f t="shared" si="3"/>
        <v>18.08333333</v>
      </c>
      <c r="E219" s="3">
        <f t="shared" si="7"/>
        <v>1000</v>
      </c>
      <c r="F219" s="2">
        <f t="shared" si="4"/>
        <v>537.2896255</v>
      </c>
      <c r="G219" s="2">
        <f t="shared" si="5"/>
        <v>462.7103745</v>
      </c>
      <c r="H219" s="2">
        <f t="shared" si="6"/>
        <v>100279.0944</v>
      </c>
    </row>
    <row r="220">
      <c r="B220" s="3">
        <f t="shared" si="1"/>
        <v>0.064</v>
      </c>
      <c r="C220" s="3">
        <f t="shared" si="2"/>
        <v>12</v>
      </c>
      <c r="D220" s="11">
        <f t="shared" si="3"/>
        <v>18.16666667</v>
      </c>
      <c r="E220" s="3">
        <f t="shared" si="7"/>
        <v>1000</v>
      </c>
      <c r="F220" s="2">
        <f t="shared" si="4"/>
        <v>534.8218368</v>
      </c>
      <c r="G220" s="2">
        <f t="shared" si="5"/>
        <v>465.1781632</v>
      </c>
      <c r="H220" s="2">
        <f t="shared" si="6"/>
        <v>99813.91624</v>
      </c>
    </row>
    <row r="221">
      <c r="B221" s="3">
        <f t="shared" si="1"/>
        <v>0.064</v>
      </c>
      <c r="C221" s="3">
        <f t="shared" si="2"/>
        <v>12</v>
      </c>
      <c r="D221" s="11">
        <f t="shared" si="3"/>
        <v>18.25</v>
      </c>
      <c r="E221" s="3">
        <f t="shared" si="7"/>
        <v>1000</v>
      </c>
      <c r="F221" s="2">
        <f t="shared" si="4"/>
        <v>532.3408866</v>
      </c>
      <c r="G221" s="2">
        <f t="shared" si="5"/>
        <v>467.6591134</v>
      </c>
      <c r="H221" s="2">
        <f t="shared" si="6"/>
        <v>99346.25712</v>
      </c>
    </row>
    <row r="222">
      <c r="B222" s="3">
        <f t="shared" si="1"/>
        <v>0.064</v>
      </c>
      <c r="C222" s="3">
        <f t="shared" si="2"/>
        <v>12</v>
      </c>
      <c r="D222" s="11">
        <f t="shared" si="3"/>
        <v>18.33333333</v>
      </c>
      <c r="E222" s="3">
        <f t="shared" si="7"/>
        <v>1000</v>
      </c>
      <c r="F222" s="2">
        <f t="shared" si="4"/>
        <v>529.8467047</v>
      </c>
      <c r="G222" s="2">
        <f t="shared" si="5"/>
        <v>470.1532953</v>
      </c>
      <c r="H222" s="2">
        <f t="shared" si="6"/>
        <v>98876.10383</v>
      </c>
    </row>
    <row r="223">
      <c r="B223" s="3">
        <f t="shared" si="1"/>
        <v>0.064</v>
      </c>
      <c r="C223" s="3">
        <f t="shared" si="2"/>
        <v>12</v>
      </c>
      <c r="D223" s="11">
        <f t="shared" si="3"/>
        <v>18.41666667</v>
      </c>
      <c r="E223" s="3">
        <f t="shared" si="7"/>
        <v>1000</v>
      </c>
      <c r="F223" s="2">
        <f t="shared" si="4"/>
        <v>527.3392204</v>
      </c>
      <c r="G223" s="2">
        <f t="shared" si="5"/>
        <v>472.6607796</v>
      </c>
      <c r="H223" s="2">
        <f t="shared" si="6"/>
        <v>98403.44305</v>
      </c>
    </row>
    <row r="224">
      <c r="B224" s="3">
        <f t="shared" si="1"/>
        <v>0.064</v>
      </c>
      <c r="C224" s="3">
        <f t="shared" si="2"/>
        <v>12</v>
      </c>
      <c r="D224" s="11">
        <f t="shared" si="3"/>
        <v>18.5</v>
      </c>
      <c r="E224" s="3">
        <f t="shared" si="7"/>
        <v>1000</v>
      </c>
      <c r="F224" s="2">
        <f t="shared" si="4"/>
        <v>524.8183629</v>
      </c>
      <c r="G224" s="2">
        <f t="shared" si="5"/>
        <v>475.1816371</v>
      </c>
      <c r="H224" s="2">
        <f t="shared" si="6"/>
        <v>97928.26141</v>
      </c>
    </row>
    <row r="225">
      <c r="B225" s="3">
        <f t="shared" si="1"/>
        <v>0.064</v>
      </c>
      <c r="C225" s="3">
        <f t="shared" si="2"/>
        <v>12</v>
      </c>
      <c r="D225" s="11">
        <f t="shared" si="3"/>
        <v>18.58333333</v>
      </c>
      <c r="E225" s="3">
        <f t="shared" si="7"/>
        <v>1000</v>
      </c>
      <c r="F225" s="2">
        <f t="shared" si="4"/>
        <v>522.2840609</v>
      </c>
      <c r="G225" s="2">
        <f t="shared" si="5"/>
        <v>477.7159391</v>
      </c>
      <c r="H225" s="2">
        <f t="shared" si="6"/>
        <v>97450.54547</v>
      </c>
    </row>
    <row r="226">
      <c r="B226" s="3">
        <f t="shared" si="1"/>
        <v>0.064</v>
      </c>
      <c r="C226" s="3">
        <f t="shared" si="2"/>
        <v>12</v>
      </c>
      <c r="D226" s="11">
        <f t="shared" si="3"/>
        <v>18.66666667</v>
      </c>
      <c r="E226" s="3">
        <f t="shared" si="7"/>
        <v>1000</v>
      </c>
      <c r="F226" s="2">
        <f t="shared" si="4"/>
        <v>519.7362425</v>
      </c>
      <c r="G226" s="2">
        <f t="shared" si="5"/>
        <v>480.2637575</v>
      </c>
      <c r="H226" s="2">
        <f t="shared" si="6"/>
        <v>96970.28171</v>
      </c>
    </row>
    <row r="227">
      <c r="B227" s="3">
        <f t="shared" si="1"/>
        <v>0.064</v>
      </c>
      <c r="C227" s="3">
        <f t="shared" si="2"/>
        <v>12</v>
      </c>
      <c r="D227" s="11">
        <f t="shared" si="3"/>
        <v>18.75</v>
      </c>
      <c r="E227" s="3">
        <f t="shared" si="7"/>
        <v>1000</v>
      </c>
      <c r="F227" s="2">
        <f t="shared" si="4"/>
        <v>517.1748358</v>
      </c>
      <c r="G227" s="2">
        <f t="shared" si="5"/>
        <v>482.8251642</v>
      </c>
      <c r="H227" s="2">
        <f t="shared" si="6"/>
        <v>96487.45655</v>
      </c>
    </row>
    <row r="228">
      <c r="B228" s="3">
        <f t="shared" si="1"/>
        <v>0.064</v>
      </c>
      <c r="C228" s="3">
        <f t="shared" si="2"/>
        <v>12</v>
      </c>
      <c r="D228" s="11">
        <f t="shared" si="3"/>
        <v>18.83333333</v>
      </c>
      <c r="E228" s="3">
        <f t="shared" si="7"/>
        <v>1000</v>
      </c>
      <c r="F228" s="2">
        <f t="shared" si="4"/>
        <v>514.5997683</v>
      </c>
      <c r="G228" s="2">
        <f t="shared" si="5"/>
        <v>485.4002317</v>
      </c>
      <c r="H228" s="2">
        <f t="shared" si="6"/>
        <v>96002.05632</v>
      </c>
    </row>
    <row r="229">
      <c r="B229" s="3">
        <f t="shared" si="1"/>
        <v>0.064</v>
      </c>
      <c r="C229" s="3">
        <f t="shared" si="2"/>
        <v>12</v>
      </c>
      <c r="D229" s="11">
        <f t="shared" si="3"/>
        <v>18.91666667</v>
      </c>
      <c r="E229" s="3">
        <f t="shared" si="7"/>
        <v>1000</v>
      </c>
      <c r="F229" s="2">
        <f t="shared" si="4"/>
        <v>512.010967</v>
      </c>
      <c r="G229" s="2">
        <f t="shared" si="5"/>
        <v>487.989033</v>
      </c>
      <c r="H229" s="2">
        <f t="shared" si="6"/>
        <v>95514.06728</v>
      </c>
    </row>
    <row r="230">
      <c r="B230" s="3">
        <f t="shared" si="1"/>
        <v>0.064</v>
      </c>
      <c r="C230" s="3">
        <f t="shared" si="2"/>
        <v>12</v>
      </c>
      <c r="D230" s="11">
        <f t="shared" si="3"/>
        <v>19</v>
      </c>
      <c r="E230" s="3">
        <f t="shared" si="7"/>
        <v>1000</v>
      </c>
      <c r="F230" s="2">
        <f t="shared" si="4"/>
        <v>509.4083589</v>
      </c>
      <c r="G230" s="2">
        <f t="shared" si="5"/>
        <v>490.5916411</v>
      </c>
      <c r="H230" s="2">
        <f t="shared" si="6"/>
        <v>95023.47564</v>
      </c>
    </row>
    <row r="231">
      <c r="B231" s="3">
        <f t="shared" si="1"/>
        <v>0.064</v>
      </c>
      <c r="C231" s="3">
        <f t="shared" si="2"/>
        <v>12</v>
      </c>
      <c r="D231" s="11">
        <f t="shared" si="3"/>
        <v>19.08333333</v>
      </c>
      <c r="E231" s="3">
        <f t="shared" si="7"/>
        <v>1000</v>
      </c>
      <c r="F231" s="2">
        <f t="shared" si="4"/>
        <v>506.7918701</v>
      </c>
      <c r="G231" s="2">
        <f t="shared" si="5"/>
        <v>493.2081299</v>
      </c>
      <c r="H231" s="2">
        <f t="shared" si="6"/>
        <v>94530.26751</v>
      </c>
    </row>
    <row r="232">
      <c r="B232" s="3">
        <f t="shared" si="1"/>
        <v>0.064</v>
      </c>
      <c r="C232" s="3">
        <f t="shared" si="2"/>
        <v>12</v>
      </c>
      <c r="D232" s="11">
        <f t="shared" si="3"/>
        <v>19.16666667</v>
      </c>
      <c r="E232" s="3">
        <f t="shared" si="7"/>
        <v>1000</v>
      </c>
      <c r="F232" s="2">
        <f t="shared" si="4"/>
        <v>504.1614267</v>
      </c>
      <c r="G232" s="2">
        <f t="shared" si="5"/>
        <v>495.8385733</v>
      </c>
      <c r="H232" s="2">
        <f t="shared" si="6"/>
        <v>94034.42894</v>
      </c>
    </row>
    <row r="233">
      <c r="B233" s="3">
        <f t="shared" si="1"/>
        <v>0.064</v>
      </c>
      <c r="C233" s="3">
        <f t="shared" si="2"/>
        <v>12</v>
      </c>
      <c r="D233" s="11">
        <f t="shared" si="3"/>
        <v>19.25</v>
      </c>
      <c r="E233" s="3">
        <f t="shared" si="7"/>
        <v>1000</v>
      </c>
      <c r="F233" s="2">
        <f t="shared" si="4"/>
        <v>501.5169543</v>
      </c>
      <c r="G233" s="2">
        <f t="shared" si="5"/>
        <v>498.4830457</v>
      </c>
      <c r="H233" s="2">
        <f t="shared" si="6"/>
        <v>93535.94589</v>
      </c>
    </row>
    <row r="234">
      <c r="B234" s="3">
        <f t="shared" si="1"/>
        <v>0.064</v>
      </c>
      <c r="C234" s="3">
        <f t="shared" si="2"/>
        <v>12</v>
      </c>
      <c r="D234" s="11">
        <f t="shared" si="3"/>
        <v>19.33333333</v>
      </c>
      <c r="E234" s="3">
        <f t="shared" si="7"/>
        <v>1000</v>
      </c>
      <c r="F234" s="2">
        <f t="shared" si="4"/>
        <v>498.8583781</v>
      </c>
      <c r="G234" s="2">
        <f t="shared" si="5"/>
        <v>501.1416219</v>
      </c>
      <c r="H234" s="2">
        <f t="shared" si="6"/>
        <v>93034.80427</v>
      </c>
    </row>
    <row r="235">
      <c r="B235" s="3">
        <f t="shared" si="1"/>
        <v>0.064</v>
      </c>
      <c r="C235" s="3">
        <f t="shared" si="2"/>
        <v>12</v>
      </c>
      <c r="D235" s="11">
        <f t="shared" si="3"/>
        <v>19.41666667</v>
      </c>
      <c r="E235" s="3">
        <f t="shared" si="7"/>
        <v>1000</v>
      </c>
      <c r="F235" s="2">
        <f t="shared" si="4"/>
        <v>496.1856228</v>
      </c>
      <c r="G235" s="2">
        <f t="shared" si="5"/>
        <v>503.8143772</v>
      </c>
      <c r="H235" s="2">
        <f t="shared" si="6"/>
        <v>92530.9899</v>
      </c>
    </row>
    <row r="236">
      <c r="B236" s="3">
        <f t="shared" si="1"/>
        <v>0.064</v>
      </c>
      <c r="C236" s="3">
        <f t="shared" si="2"/>
        <v>12</v>
      </c>
      <c r="D236" s="11">
        <f t="shared" si="3"/>
        <v>19.5</v>
      </c>
      <c r="E236" s="3">
        <f t="shared" si="7"/>
        <v>1000</v>
      </c>
      <c r="F236" s="2">
        <f t="shared" si="4"/>
        <v>493.4986128</v>
      </c>
      <c r="G236" s="2">
        <f t="shared" si="5"/>
        <v>506.5013872</v>
      </c>
      <c r="H236" s="2">
        <f t="shared" si="6"/>
        <v>92024.48851</v>
      </c>
    </row>
    <row r="237">
      <c r="B237" s="3">
        <f t="shared" si="1"/>
        <v>0.064</v>
      </c>
      <c r="C237" s="3">
        <f t="shared" si="2"/>
        <v>12</v>
      </c>
      <c r="D237" s="11">
        <f t="shared" si="3"/>
        <v>19.58333333</v>
      </c>
      <c r="E237" s="3">
        <f t="shared" si="7"/>
        <v>1000</v>
      </c>
      <c r="F237" s="2">
        <f t="shared" si="4"/>
        <v>490.797272</v>
      </c>
      <c r="G237" s="2">
        <f t="shared" si="5"/>
        <v>509.202728</v>
      </c>
      <c r="H237" s="2">
        <f t="shared" si="6"/>
        <v>91515.28578</v>
      </c>
    </row>
    <row r="238">
      <c r="B238" s="3">
        <f t="shared" si="1"/>
        <v>0.064</v>
      </c>
      <c r="C238" s="3">
        <f t="shared" si="2"/>
        <v>12</v>
      </c>
      <c r="D238" s="11">
        <f t="shared" si="3"/>
        <v>19.66666667</v>
      </c>
      <c r="E238" s="3">
        <f t="shared" si="7"/>
        <v>1000</v>
      </c>
      <c r="F238" s="2">
        <f t="shared" si="4"/>
        <v>488.0815242</v>
      </c>
      <c r="G238" s="2">
        <f t="shared" si="5"/>
        <v>511.9184758</v>
      </c>
      <c r="H238" s="2">
        <f t="shared" si="6"/>
        <v>91003.3673</v>
      </c>
    </row>
    <row r="239">
      <c r="B239" s="3">
        <f t="shared" si="1"/>
        <v>0.064</v>
      </c>
      <c r="C239" s="3">
        <f t="shared" si="2"/>
        <v>12</v>
      </c>
      <c r="D239" s="11">
        <f t="shared" si="3"/>
        <v>19.75</v>
      </c>
      <c r="E239" s="3">
        <f t="shared" si="7"/>
        <v>1000</v>
      </c>
      <c r="F239" s="2">
        <f t="shared" si="4"/>
        <v>485.3512923</v>
      </c>
      <c r="G239" s="2">
        <f t="shared" si="5"/>
        <v>514.6487077</v>
      </c>
      <c r="H239" s="2">
        <f t="shared" si="6"/>
        <v>90488.7186</v>
      </c>
    </row>
    <row r="240">
      <c r="B240" s="3">
        <f t="shared" si="1"/>
        <v>0.064</v>
      </c>
      <c r="C240" s="3">
        <f t="shared" si="2"/>
        <v>12</v>
      </c>
      <c r="D240" s="11">
        <f t="shared" si="3"/>
        <v>19.83333333</v>
      </c>
      <c r="E240" s="3">
        <f t="shared" si="7"/>
        <v>1000</v>
      </c>
      <c r="F240" s="2">
        <f t="shared" si="4"/>
        <v>482.6064992</v>
      </c>
      <c r="G240" s="2">
        <f t="shared" si="5"/>
        <v>517.3935008</v>
      </c>
      <c r="H240" s="2">
        <f t="shared" si="6"/>
        <v>89971.3251</v>
      </c>
    </row>
    <row r="241">
      <c r="B241" s="3">
        <f t="shared" si="1"/>
        <v>0.064</v>
      </c>
      <c r="C241" s="3">
        <f t="shared" si="2"/>
        <v>12</v>
      </c>
      <c r="D241" s="11">
        <f t="shared" si="3"/>
        <v>19.91666667</v>
      </c>
      <c r="E241" s="3">
        <f t="shared" si="7"/>
        <v>1000</v>
      </c>
      <c r="F241" s="2">
        <f t="shared" si="4"/>
        <v>479.8470672</v>
      </c>
      <c r="G241" s="2">
        <f t="shared" si="5"/>
        <v>520.1529328</v>
      </c>
      <c r="H241" s="2">
        <f t="shared" si="6"/>
        <v>89451.17216</v>
      </c>
    </row>
    <row r="242">
      <c r="B242" s="3">
        <f t="shared" si="1"/>
        <v>0.064</v>
      </c>
      <c r="C242" s="3">
        <f t="shared" si="2"/>
        <v>12</v>
      </c>
      <c r="D242" s="11">
        <f t="shared" si="3"/>
        <v>20</v>
      </c>
      <c r="E242" s="3">
        <f t="shared" si="7"/>
        <v>1000</v>
      </c>
      <c r="F242" s="2">
        <f t="shared" si="4"/>
        <v>477.0729182</v>
      </c>
      <c r="G242" s="2">
        <f t="shared" si="5"/>
        <v>522.9270818</v>
      </c>
      <c r="H242" s="2">
        <f t="shared" si="6"/>
        <v>88928.24508</v>
      </c>
    </row>
    <row r="243">
      <c r="B243" s="3">
        <f t="shared" si="1"/>
        <v>0.064</v>
      </c>
      <c r="C243" s="3">
        <f t="shared" si="2"/>
        <v>12</v>
      </c>
      <c r="D243" s="11">
        <f t="shared" si="3"/>
        <v>20.08333333</v>
      </c>
      <c r="E243" s="3">
        <f t="shared" si="7"/>
        <v>1000</v>
      </c>
      <c r="F243" s="2">
        <f t="shared" si="4"/>
        <v>474.2839738</v>
      </c>
      <c r="G243" s="2">
        <f t="shared" si="5"/>
        <v>525.7160262</v>
      </c>
      <c r="H243" s="2">
        <f t="shared" si="6"/>
        <v>88402.52906</v>
      </c>
    </row>
    <row r="244">
      <c r="B244" s="3">
        <f t="shared" si="1"/>
        <v>0.064</v>
      </c>
      <c r="C244" s="3">
        <f t="shared" si="2"/>
        <v>12</v>
      </c>
      <c r="D244" s="11">
        <f t="shared" si="3"/>
        <v>20.16666667</v>
      </c>
      <c r="E244" s="3">
        <f t="shared" si="7"/>
        <v>1000</v>
      </c>
      <c r="F244" s="2">
        <f t="shared" si="4"/>
        <v>471.480155</v>
      </c>
      <c r="G244" s="2">
        <f t="shared" si="5"/>
        <v>528.519845</v>
      </c>
      <c r="H244" s="2">
        <f t="shared" si="6"/>
        <v>87874.00921</v>
      </c>
    </row>
    <row r="245">
      <c r="B245" s="3">
        <f t="shared" si="1"/>
        <v>0.064</v>
      </c>
      <c r="C245" s="3">
        <f t="shared" si="2"/>
        <v>12</v>
      </c>
      <c r="D245" s="11">
        <f t="shared" si="3"/>
        <v>20.25</v>
      </c>
      <c r="E245" s="3">
        <f t="shared" si="7"/>
        <v>1000</v>
      </c>
      <c r="F245" s="2">
        <f t="shared" si="4"/>
        <v>468.6613825</v>
      </c>
      <c r="G245" s="2">
        <f t="shared" si="5"/>
        <v>531.3386175</v>
      </c>
      <c r="H245" s="2">
        <f t="shared" si="6"/>
        <v>87342.67059</v>
      </c>
    </row>
    <row r="246">
      <c r="B246" s="3">
        <f t="shared" si="1"/>
        <v>0.064</v>
      </c>
      <c r="C246" s="3">
        <f t="shared" si="2"/>
        <v>12</v>
      </c>
      <c r="D246" s="11">
        <f t="shared" si="3"/>
        <v>20.33333333</v>
      </c>
      <c r="E246" s="3">
        <f t="shared" si="7"/>
        <v>1000</v>
      </c>
      <c r="F246" s="2">
        <f t="shared" si="4"/>
        <v>465.8275765</v>
      </c>
      <c r="G246" s="2">
        <f t="shared" si="5"/>
        <v>534.1724235</v>
      </c>
      <c r="H246" s="2">
        <f t="shared" si="6"/>
        <v>86808.49817</v>
      </c>
    </row>
    <row r="247">
      <c r="B247" s="3">
        <f t="shared" si="1"/>
        <v>0.064</v>
      </c>
      <c r="C247" s="3">
        <f t="shared" si="2"/>
        <v>12</v>
      </c>
      <c r="D247" s="11">
        <f t="shared" si="3"/>
        <v>20.41666667</v>
      </c>
      <c r="E247" s="3">
        <f t="shared" si="7"/>
        <v>1000</v>
      </c>
      <c r="F247" s="2">
        <f t="shared" si="4"/>
        <v>462.9786569</v>
      </c>
      <c r="G247" s="2">
        <f t="shared" si="5"/>
        <v>537.0213431</v>
      </c>
      <c r="H247" s="2">
        <f t="shared" si="6"/>
        <v>86271.47683</v>
      </c>
    </row>
    <row r="248">
      <c r="B248" s="3">
        <f t="shared" si="1"/>
        <v>0.064</v>
      </c>
      <c r="C248" s="3">
        <f t="shared" si="2"/>
        <v>12</v>
      </c>
      <c r="D248" s="11">
        <f t="shared" si="3"/>
        <v>20.5</v>
      </c>
      <c r="E248" s="3">
        <f t="shared" si="7"/>
        <v>1000</v>
      </c>
      <c r="F248" s="2">
        <f t="shared" si="4"/>
        <v>460.1145431</v>
      </c>
      <c r="G248" s="2">
        <f t="shared" si="5"/>
        <v>539.8854569</v>
      </c>
      <c r="H248" s="2">
        <f t="shared" si="6"/>
        <v>85731.59137</v>
      </c>
    </row>
    <row r="249">
      <c r="B249" s="3">
        <f t="shared" si="1"/>
        <v>0.064</v>
      </c>
      <c r="C249" s="3">
        <f t="shared" si="2"/>
        <v>12</v>
      </c>
      <c r="D249" s="11">
        <f t="shared" si="3"/>
        <v>20.58333333</v>
      </c>
      <c r="E249" s="3">
        <f t="shared" si="7"/>
        <v>1000</v>
      </c>
      <c r="F249" s="2">
        <f t="shared" si="4"/>
        <v>457.235154</v>
      </c>
      <c r="G249" s="2">
        <f t="shared" si="5"/>
        <v>542.764846</v>
      </c>
      <c r="H249" s="2">
        <f t="shared" si="6"/>
        <v>85188.82652</v>
      </c>
    </row>
    <row r="250">
      <c r="B250" s="3">
        <f t="shared" si="1"/>
        <v>0.064</v>
      </c>
      <c r="C250" s="3">
        <f t="shared" si="2"/>
        <v>12</v>
      </c>
      <c r="D250" s="11">
        <f t="shared" si="3"/>
        <v>20.66666667</v>
      </c>
      <c r="E250" s="3">
        <f t="shared" si="7"/>
        <v>1000</v>
      </c>
      <c r="F250" s="2">
        <f t="shared" si="4"/>
        <v>454.3404081</v>
      </c>
      <c r="G250" s="2">
        <f t="shared" si="5"/>
        <v>545.6595919</v>
      </c>
      <c r="H250" s="2">
        <f t="shared" si="6"/>
        <v>84643.16693</v>
      </c>
    </row>
    <row r="251">
      <c r="B251" s="3">
        <f t="shared" si="1"/>
        <v>0.064</v>
      </c>
      <c r="C251" s="3">
        <f t="shared" si="2"/>
        <v>12</v>
      </c>
      <c r="D251" s="11">
        <f t="shared" si="3"/>
        <v>20.75</v>
      </c>
      <c r="E251" s="3">
        <f t="shared" si="7"/>
        <v>1000</v>
      </c>
      <c r="F251" s="2">
        <f t="shared" si="4"/>
        <v>451.4302236</v>
      </c>
      <c r="G251" s="2">
        <f t="shared" si="5"/>
        <v>548.5697764</v>
      </c>
      <c r="H251" s="2">
        <f t="shared" si="6"/>
        <v>84094.59716</v>
      </c>
    </row>
    <row r="252">
      <c r="B252" s="3">
        <f t="shared" si="1"/>
        <v>0.064</v>
      </c>
      <c r="C252" s="3">
        <f t="shared" si="2"/>
        <v>12</v>
      </c>
      <c r="D252" s="11">
        <f t="shared" si="3"/>
        <v>20.83333333</v>
      </c>
      <c r="E252" s="3">
        <f t="shared" si="7"/>
        <v>1000</v>
      </c>
      <c r="F252" s="2">
        <f t="shared" si="4"/>
        <v>448.5045182</v>
      </c>
      <c r="G252" s="2">
        <f t="shared" si="5"/>
        <v>551.4954818</v>
      </c>
      <c r="H252" s="2">
        <f t="shared" si="6"/>
        <v>83543.10167</v>
      </c>
    </row>
    <row r="253">
      <c r="B253" s="3">
        <f t="shared" si="1"/>
        <v>0.064</v>
      </c>
      <c r="C253" s="3">
        <f t="shared" si="2"/>
        <v>12</v>
      </c>
      <c r="D253" s="11">
        <f t="shared" si="3"/>
        <v>20.91666667</v>
      </c>
      <c r="E253" s="3">
        <f t="shared" si="7"/>
        <v>1000</v>
      </c>
      <c r="F253" s="2">
        <f t="shared" si="4"/>
        <v>445.5632089</v>
      </c>
      <c r="G253" s="2">
        <f t="shared" si="5"/>
        <v>554.4367911</v>
      </c>
      <c r="H253" s="2">
        <f t="shared" si="6"/>
        <v>82988.66488</v>
      </c>
    </row>
    <row r="254">
      <c r="B254" s="3">
        <f t="shared" si="1"/>
        <v>0.064</v>
      </c>
      <c r="C254" s="3">
        <f t="shared" si="2"/>
        <v>12</v>
      </c>
      <c r="D254" s="11">
        <f t="shared" si="3"/>
        <v>21</v>
      </c>
      <c r="E254" s="3">
        <f t="shared" si="7"/>
        <v>1000</v>
      </c>
      <c r="F254" s="2">
        <f t="shared" si="4"/>
        <v>442.6062127</v>
      </c>
      <c r="G254" s="2">
        <f t="shared" si="5"/>
        <v>557.3937873</v>
      </c>
      <c r="H254" s="2">
        <f t="shared" si="6"/>
        <v>82431.27109</v>
      </c>
    </row>
    <row r="255">
      <c r="B255" s="3">
        <f t="shared" si="1"/>
        <v>0.064</v>
      </c>
      <c r="C255" s="3">
        <f t="shared" si="2"/>
        <v>12</v>
      </c>
      <c r="D255" s="11">
        <f t="shared" si="3"/>
        <v>21.08333333</v>
      </c>
      <c r="E255" s="3">
        <f t="shared" si="7"/>
        <v>1000</v>
      </c>
      <c r="F255" s="2">
        <f t="shared" si="4"/>
        <v>439.6334458</v>
      </c>
      <c r="G255" s="2">
        <f t="shared" si="5"/>
        <v>560.3665542</v>
      </c>
      <c r="H255" s="2">
        <f t="shared" si="6"/>
        <v>81870.90454</v>
      </c>
    </row>
    <row r="256">
      <c r="B256" s="3">
        <f t="shared" si="1"/>
        <v>0.064</v>
      </c>
      <c r="C256" s="3">
        <f t="shared" si="2"/>
        <v>12</v>
      </c>
      <c r="D256" s="11">
        <f t="shared" si="3"/>
        <v>21.16666667</v>
      </c>
      <c r="E256" s="3">
        <f t="shared" si="7"/>
        <v>1000</v>
      </c>
      <c r="F256" s="2">
        <f t="shared" si="4"/>
        <v>436.6448242</v>
      </c>
      <c r="G256" s="2">
        <f t="shared" si="5"/>
        <v>563.3551758</v>
      </c>
      <c r="H256" s="2">
        <f t="shared" si="6"/>
        <v>81307.54936</v>
      </c>
    </row>
    <row r="257">
      <c r="B257" s="3">
        <f t="shared" si="1"/>
        <v>0.064</v>
      </c>
      <c r="C257" s="3">
        <f t="shared" si="2"/>
        <v>12</v>
      </c>
      <c r="D257" s="11">
        <f t="shared" si="3"/>
        <v>21.25</v>
      </c>
      <c r="E257" s="3">
        <f t="shared" si="7"/>
        <v>1000</v>
      </c>
      <c r="F257" s="2">
        <f t="shared" si="4"/>
        <v>433.6402633</v>
      </c>
      <c r="G257" s="2">
        <f t="shared" si="5"/>
        <v>566.3597367</v>
      </c>
      <c r="H257" s="2">
        <f t="shared" si="6"/>
        <v>80741.18963</v>
      </c>
    </row>
    <row r="258">
      <c r="B258" s="3">
        <f t="shared" si="1"/>
        <v>0.064</v>
      </c>
      <c r="C258" s="3">
        <f t="shared" si="2"/>
        <v>12</v>
      </c>
      <c r="D258" s="11">
        <f t="shared" si="3"/>
        <v>21.33333333</v>
      </c>
      <c r="E258" s="3">
        <f t="shared" si="7"/>
        <v>1000</v>
      </c>
      <c r="F258" s="2">
        <f t="shared" si="4"/>
        <v>430.619678</v>
      </c>
      <c r="G258" s="2">
        <f t="shared" si="5"/>
        <v>569.380322</v>
      </c>
      <c r="H258" s="2">
        <f t="shared" si="6"/>
        <v>80171.80931</v>
      </c>
    </row>
    <row r="259">
      <c r="B259" s="3">
        <f t="shared" si="1"/>
        <v>0.064</v>
      </c>
      <c r="C259" s="3">
        <f t="shared" si="2"/>
        <v>12</v>
      </c>
      <c r="D259" s="11">
        <f t="shared" si="3"/>
        <v>21.41666667</v>
      </c>
      <c r="E259" s="3">
        <f t="shared" si="7"/>
        <v>1000</v>
      </c>
      <c r="F259" s="2">
        <f t="shared" si="4"/>
        <v>427.582983</v>
      </c>
      <c r="G259" s="2">
        <f t="shared" si="5"/>
        <v>572.417017</v>
      </c>
      <c r="H259" s="2">
        <f t="shared" si="6"/>
        <v>79599.39229</v>
      </c>
    </row>
    <row r="260">
      <c r="B260" s="3">
        <f t="shared" si="1"/>
        <v>0.064</v>
      </c>
      <c r="C260" s="3">
        <f t="shared" si="2"/>
        <v>12</v>
      </c>
      <c r="D260" s="11">
        <f t="shared" si="3"/>
        <v>21.5</v>
      </c>
      <c r="E260" s="3">
        <f t="shared" si="7"/>
        <v>1000</v>
      </c>
      <c r="F260" s="2">
        <f t="shared" si="4"/>
        <v>424.5300922</v>
      </c>
      <c r="G260" s="2">
        <f t="shared" si="5"/>
        <v>575.4699078</v>
      </c>
      <c r="H260" s="2">
        <f t="shared" si="6"/>
        <v>79023.92238</v>
      </c>
    </row>
    <row r="261">
      <c r="B261" s="3">
        <f t="shared" si="1"/>
        <v>0.064</v>
      </c>
      <c r="C261" s="3">
        <f t="shared" si="2"/>
        <v>12</v>
      </c>
      <c r="D261" s="11">
        <f t="shared" si="3"/>
        <v>21.58333333</v>
      </c>
      <c r="E261" s="3">
        <f t="shared" si="7"/>
        <v>1000</v>
      </c>
      <c r="F261" s="2">
        <f t="shared" si="4"/>
        <v>421.4609194</v>
      </c>
      <c r="G261" s="2">
        <f t="shared" si="5"/>
        <v>578.5390806</v>
      </c>
      <c r="H261" s="2">
        <f t="shared" si="6"/>
        <v>78445.3833</v>
      </c>
    </row>
    <row r="262">
      <c r="B262" s="3">
        <f t="shared" si="1"/>
        <v>0.064</v>
      </c>
      <c r="C262" s="3">
        <f t="shared" si="2"/>
        <v>12</v>
      </c>
      <c r="D262" s="11">
        <f t="shared" si="3"/>
        <v>21.66666667</v>
      </c>
      <c r="E262" s="3">
        <f t="shared" si="7"/>
        <v>1000</v>
      </c>
      <c r="F262" s="2">
        <f t="shared" si="4"/>
        <v>418.3753776</v>
      </c>
      <c r="G262" s="2">
        <f t="shared" si="5"/>
        <v>581.6246224</v>
      </c>
      <c r="H262" s="2">
        <f t="shared" si="6"/>
        <v>77863.75868</v>
      </c>
    </row>
    <row r="263">
      <c r="B263" s="3">
        <f t="shared" si="1"/>
        <v>0.064</v>
      </c>
      <c r="C263" s="3">
        <f t="shared" si="2"/>
        <v>12</v>
      </c>
      <c r="D263" s="11">
        <f t="shared" si="3"/>
        <v>21.75</v>
      </c>
      <c r="E263" s="3">
        <f t="shared" si="7"/>
        <v>1000</v>
      </c>
      <c r="F263" s="2">
        <f t="shared" si="4"/>
        <v>415.2733796</v>
      </c>
      <c r="G263" s="2">
        <f t="shared" si="5"/>
        <v>584.7266204</v>
      </c>
      <c r="H263" s="2">
        <f t="shared" si="6"/>
        <v>77279.03206</v>
      </c>
    </row>
    <row r="264">
      <c r="B264" s="3">
        <f t="shared" si="1"/>
        <v>0.064</v>
      </c>
      <c r="C264" s="3">
        <f t="shared" si="2"/>
        <v>12</v>
      </c>
      <c r="D264" s="11">
        <f t="shared" si="3"/>
        <v>21.83333333</v>
      </c>
      <c r="E264" s="3">
        <f t="shared" si="7"/>
        <v>1000</v>
      </c>
      <c r="F264" s="2">
        <f t="shared" si="4"/>
        <v>412.1548376</v>
      </c>
      <c r="G264" s="2">
        <f t="shared" si="5"/>
        <v>587.8451624</v>
      </c>
      <c r="H264" s="2">
        <f t="shared" si="6"/>
        <v>76691.1869</v>
      </c>
    </row>
    <row r="265">
      <c r="B265" s="3">
        <f t="shared" si="1"/>
        <v>0.064</v>
      </c>
      <c r="C265" s="3">
        <f t="shared" si="2"/>
        <v>12</v>
      </c>
      <c r="D265" s="11">
        <f t="shared" si="3"/>
        <v>21.91666667</v>
      </c>
      <c r="E265" s="3">
        <f t="shared" si="7"/>
        <v>1000</v>
      </c>
      <c r="F265" s="2">
        <f t="shared" si="4"/>
        <v>409.0196634</v>
      </c>
      <c r="G265" s="2">
        <f t="shared" si="5"/>
        <v>590.9803366</v>
      </c>
      <c r="H265" s="2">
        <f t="shared" si="6"/>
        <v>76100.20656</v>
      </c>
    </row>
    <row r="266">
      <c r="B266" s="3">
        <f t="shared" si="1"/>
        <v>0.064</v>
      </c>
      <c r="C266" s="3">
        <f t="shared" si="2"/>
        <v>12</v>
      </c>
      <c r="D266" s="11">
        <f t="shared" si="3"/>
        <v>22</v>
      </c>
      <c r="E266" s="3">
        <f t="shared" si="7"/>
        <v>1000</v>
      </c>
      <c r="F266" s="2">
        <f t="shared" si="4"/>
        <v>405.8677683</v>
      </c>
      <c r="G266" s="2">
        <f t="shared" si="5"/>
        <v>594.1322317</v>
      </c>
      <c r="H266" s="2">
        <f t="shared" si="6"/>
        <v>75506.07433</v>
      </c>
    </row>
    <row r="267">
      <c r="B267" s="3">
        <f t="shared" si="1"/>
        <v>0.064</v>
      </c>
      <c r="C267" s="3">
        <f t="shared" si="2"/>
        <v>12</v>
      </c>
      <c r="D267" s="11">
        <f t="shared" si="3"/>
        <v>22.08333333</v>
      </c>
      <c r="E267" s="3">
        <f t="shared" si="7"/>
        <v>1000</v>
      </c>
      <c r="F267" s="2">
        <f t="shared" si="4"/>
        <v>402.6990631</v>
      </c>
      <c r="G267" s="2">
        <f t="shared" si="5"/>
        <v>597.3009369</v>
      </c>
      <c r="H267" s="2">
        <f t="shared" si="6"/>
        <v>74908.77339</v>
      </c>
    </row>
    <row r="268">
      <c r="B268" s="3">
        <f t="shared" si="1"/>
        <v>0.064</v>
      </c>
      <c r="C268" s="3">
        <f t="shared" si="2"/>
        <v>12</v>
      </c>
      <c r="D268" s="11">
        <f t="shared" si="3"/>
        <v>22.16666667</v>
      </c>
      <c r="E268" s="3">
        <f t="shared" si="7"/>
        <v>1000</v>
      </c>
      <c r="F268" s="2">
        <f t="shared" si="4"/>
        <v>399.5134581</v>
      </c>
      <c r="G268" s="2">
        <f t="shared" si="5"/>
        <v>600.4865419</v>
      </c>
      <c r="H268" s="2">
        <f t="shared" si="6"/>
        <v>74308.28685</v>
      </c>
    </row>
    <row r="269">
      <c r="B269" s="3">
        <f t="shared" si="1"/>
        <v>0.064</v>
      </c>
      <c r="C269" s="3">
        <f t="shared" si="2"/>
        <v>12</v>
      </c>
      <c r="D269" s="11">
        <f t="shared" si="3"/>
        <v>22.25</v>
      </c>
      <c r="E269" s="3">
        <f t="shared" si="7"/>
        <v>1000</v>
      </c>
      <c r="F269" s="2">
        <f t="shared" si="4"/>
        <v>396.3108632</v>
      </c>
      <c r="G269" s="2">
        <f t="shared" si="5"/>
        <v>603.6891368</v>
      </c>
      <c r="H269" s="2">
        <f t="shared" si="6"/>
        <v>73704.59771</v>
      </c>
    </row>
    <row r="270">
      <c r="B270" s="3">
        <f t="shared" si="1"/>
        <v>0.064</v>
      </c>
      <c r="C270" s="3">
        <f t="shared" si="2"/>
        <v>12</v>
      </c>
      <c r="D270" s="11">
        <f t="shared" si="3"/>
        <v>22.33333333</v>
      </c>
      <c r="E270" s="3">
        <f t="shared" si="7"/>
        <v>1000</v>
      </c>
      <c r="F270" s="2">
        <f t="shared" si="4"/>
        <v>393.0911878</v>
      </c>
      <c r="G270" s="2">
        <f t="shared" si="5"/>
        <v>606.9088122</v>
      </c>
      <c r="H270" s="2">
        <f t="shared" si="6"/>
        <v>73097.6889</v>
      </c>
    </row>
    <row r="271">
      <c r="B271" s="3">
        <f t="shared" si="1"/>
        <v>0.064</v>
      </c>
      <c r="C271" s="3">
        <f t="shared" si="2"/>
        <v>12</v>
      </c>
      <c r="D271" s="11">
        <f t="shared" si="3"/>
        <v>22.41666667</v>
      </c>
      <c r="E271" s="3">
        <f t="shared" si="7"/>
        <v>1000</v>
      </c>
      <c r="F271" s="2">
        <f t="shared" si="4"/>
        <v>389.8543408</v>
      </c>
      <c r="G271" s="2">
        <f t="shared" si="5"/>
        <v>610.1456592</v>
      </c>
      <c r="H271" s="2">
        <f t="shared" si="6"/>
        <v>72487.54324</v>
      </c>
    </row>
    <row r="272">
      <c r="B272" s="3">
        <f t="shared" si="1"/>
        <v>0.064</v>
      </c>
      <c r="C272" s="3">
        <f t="shared" si="2"/>
        <v>12</v>
      </c>
      <c r="D272" s="11">
        <f t="shared" si="3"/>
        <v>22.5</v>
      </c>
      <c r="E272" s="3">
        <f t="shared" si="7"/>
        <v>1000</v>
      </c>
      <c r="F272" s="2">
        <f t="shared" si="4"/>
        <v>386.6002306</v>
      </c>
      <c r="G272" s="2">
        <f t="shared" si="5"/>
        <v>613.3997694</v>
      </c>
      <c r="H272" s="2">
        <f t="shared" si="6"/>
        <v>71874.14347</v>
      </c>
    </row>
    <row r="273">
      <c r="B273" s="3">
        <f t="shared" si="1"/>
        <v>0.064</v>
      </c>
      <c r="C273" s="3">
        <f t="shared" si="2"/>
        <v>12</v>
      </c>
      <c r="D273" s="11">
        <f t="shared" si="3"/>
        <v>22.58333333</v>
      </c>
      <c r="E273" s="3">
        <f t="shared" si="7"/>
        <v>1000</v>
      </c>
      <c r="F273" s="2">
        <f t="shared" si="4"/>
        <v>383.3287652</v>
      </c>
      <c r="G273" s="2">
        <f t="shared" si="5"/>
        <v>616.6712348</v>
      </c>
      <c r="H273" s="2">
        <f t="shared" si="6"/>
        <v>71257.47224</v>
      </c>
    </row>
    <row r="274">
      <c r="B274" s="3">
        <f t="shared" si="1"/>
        <v>0.064</v>
      </c>
      <c r="C274" s="3">
        <f t="shared" si="2"/>
        <v>12</v>
      </c>
      <c r="D274" s="11">
        <f t="shared" si="3"/>
        <v>22.66666667</v>
      </c>
      <c r="E274" s="3">
        <f t="shared" si="7"/>
        <v>1000</v>
      </c>
      <c r="F274" s="2">
        <f t="shared" si="4"/>
        <v>380.0398519</v>
      </c>
      <c r="G274" s="2">
        <f t="shared" si="5"/>
        <v>619.9601481</v>
      </c>
      <c r="H274" s="2">
        <f t="shared" si="6"/>
        <v>70637.51209</v>
      </c>
    </row>
    <row r="275">
      <c r="B275" s="3">
        <f t="shared" si="1"/>
        <v>0.064</v>
      </c>
      <c r="C275" s="3">
        <f t="shared" si="2"/>
        <v>12</v>
      </c>
      <c r="D275" s="11">
        <f t="shared" si="3"/>
        <v>22.75</v>
      </c>
      <c r="E275" s="3">
        <f t="shared" si="7"/>
        <v>1000</v>
      </c>
      <c r="F275" s="2">
        <f t="shared" si="4"/>
        <v>376.7333978</v>
      </c>
      <c r="G275" s="2">
        <f t="shared" si="5"/>
        <v>623.2666022</v>
      </c>
      <c r="H275" s="2">
        <f t="shared" si="6"/>
        <v>70014.24549</v>
      </c>
    </row>
    <row r="276">
      <c r="B276" s="3">
        <f t="shared" si="1"/>
        <v>0.064</v>
      </c>
      <c r="C276" s="3">
        <f t="shared" si="2"/>
        <v>12</v>
      </c>
      <c r="D276" s="11">
        <f t="shared" si="3"/>
        <v>22.83333333</v>
      </c>
      <c r="E276" s="3">
        <f t="shared" si="7"/>
        <v>1000</v>
      </c>
      <c r="F276" s="2">
        <f t="shared" si="4"/>
        <v>373.4093093</v>
      </c>
      <c r="G276" s="2">
        <f t="shared" si="5"/>
        <v>626.5906907</v>
      </c>
      <c r="H276" s="2">
        <f t="shared" si="6"/>
        <v>69387.6548</v>
      </c>
    </row>
    <row r="277">
      <c r="B277" s="3">
        <f t="shared" si="1"/>
        <v>0.064</v>
      </c>
      <c r="C277" s="3">
        <f t="shared" si="2"/>
        <v>12</v>
      </c>
      <c r="D277" s="11">
        <f t="shared" si="3"/>
        <v>22.91666667</v>
      </c>
      <c r="E277" s="3">
        <f t="shared" si="7"/>
        <v>1000</v>
      </c>
      <c r="F277" s="2">
        <f t="shared" si="4"/>
        <v>370.0674922</v>
      </c>
      <c r="G277" s="2">
        <f t="shared" si="5"/>
        <v>629.9325078</v>
      </c>
      <c r="H277" s="2">
        <f t="shared" si="6"/>
        <v>68757.72229</v>
      </c>
    </row>
    <row r="278">
      <c r="B278" s="3">
        <f t="shared" si="1"/>
        <v>0.064</v>
      </c>
      <c r="C278" s="3">
        <f t="shared" si="2"/>
        <v>12</v>
      </c>
      <c r="D278" s="11">
        <f t="shared" si="3"/>
        <v>23</v>
      </c>
      <c r="E278" s="3">
        <f t="shared" si="7"/>
        <v>1000</v>
      </c>
      <c r="F278" s="2">
        <f t="shared" si="4"/>
        <v>366.7078522</v>
      </c>
      <c r="G278" s="2">
        <f t="shared" si="5"/>
        <v>633.2921478</v>
      </c>
      <c r="H278" s="2">
        <f t="shared" si="6"/>
        <v>68124.43014</v>
      </c>
    </row>
    <row r="279">
      <c r="B279" s="3">
        <f t="shared" si="1"/>
        <v>0.064</v>
      </c>
      <c r="C279" s="3">
        <f t="shared" si="2"/>
        <v>12</v>
      </c>
      <c r="D279" s="11">
        <f t="shared" si="3"/>
        <v>23.08333333</v>
      </c>
      <c r="E279" s="3">
        <f t="shared" si="7"/>
        <v>1000</v>
      </c>
      <c r="F279" s="2">
        <f t="shared" si="4"/>
        <v>363.3302941</v>
      </c>
      <c r="G279" s="2">
        <f t="shared" si="5"/>
        <v>636.6697059</v>
      </c>
      <c r="H279" s="2">
        <f t="shared" si="6"/>
        <v>67487.76043</v>
      </c>
    </row>
    <row r="280">
      <c r="B280" s="3">
        <f t="shared" si="1"/>
        <v>0.064</v>
      </c>
      <c r="C280" s="3">
        <f t="shared" si="2"/>
        <v>12</v>
      </c>
      <c r="D280" s="11">
        <f t="shared" si="3"/>
        <v>23.16666667</v>
      </c>
      <c r="E280" s="3">
        <f t="shared" si="7"/>
        <v>1000</v>
      </c>
      <c r="F280" s="2">
        <f t="shared" si="4"/>
        <v>359.9347223</v>
      </c>
      <c r="G280" s="2">
        <f t="shared" si="5"/>
        <v>640.0652777</v>
      </c>
      <c r="H280" s="2">
        <f t="shared" si="6"/>
        <v>66847.69516</v>
      </c>
    </row>
    <row r="281">
      <c r="B281" s="3">
        <f t="shared" si="1"/>
        <v>0.064</v>
      </c>
      <c r="C281" s="3">
        <f t="shared" si="2"/>
        <v>12</v>
      </c>
      <c r="D281" s="11">
        <f t="shared" si="3"/>
        <v>23.25</v>
      </c>
      <c r="E281" s="3">
        <f t="shared" si="7"/>
        <v>1000</v>
      </c>
      <c r="F281" s="2">
        <f t="shared" si="4"/>
        <v>356.5210408</v>
      </c>
      <c r="G281" s="2">
        <f t="shared" si="5"/>
        <v>643.4789592</v>
      </c>
      <c r="H281" s="2">
        <f t="shared" si="6"/>
        <v>66204.2162</v>
      </c>
    </row>
    <row r="282">
      <c r="B282" s="3">
        <f t="shared" si="1"/>
        <v>0.064</v>
      </c>
      <c r="C282" s="3">
        <f t="shared" si="2"/>
        <v>12</v>
      </c>
      <c r="D282" s="11">
        <f t="shared" si="3"/>
        <v>23.33333333</v>
      </c>
      <c r="E282" s="3">
        <f t="shared" si="7"/>
        <v>1000</v>
      </c>
      <c r="F282" s="2">
        <f t="shared" si="4"/>
        <v>353.089153</v>
      </c>
      <c r="G282" s="2">
        <f t="shared" si="5"/>
        <v>646.910847</v>
      </c>
      <c r="H282" s="2">
        <f t="shared" si="6"/>
        <v>65557.30535</v>
      </c>
    </row>
    <row r="283">
      <c r="B283" s="3">
        <f t="shared" si="1"/>
        <v>0.064</v>
      </c>
      <c r="C283" s="3">
        <f t="shared" si="2"/>
        <v>12</v>
      </c>
      <c r="D283" s="11">
        <f t="shared" si="3"/>
        <v>23.41666667</v>
      </c>
      <c r="E283" s="3">
        <f t="shared" si="7"/>
        <v>1000</v>
      </c>
      <c r="F283" s="2">
        <f t="shared" si="4"/>
        <v>349.6389619</v>
      </c>
      <c r="G283" s="2">
        <f t="shared" si="5"/>
        <v>650.3610381</v>
      </c>
      <c r="H283" s="2">
        <f t="shared" si="6"/>
        <v>64906.94431</v>
      </c>
    </row>
    <row r="284">
      <c r="B284" s="3">
        <f t="shared" si="1"/>
        <v>0.064</v>
      </c>
      <c r="C284" s="3">
        <f t="shared" si="2"/>
        <v>12</v>
      </c>
      <c r="D284" s="11">
        <f t="shared" si="3"/>
        <v>23.5</v>
      </c>
      <c r="E284" s="3">
        <f t="shared" si="7"/>
        <v>1000</v>
      </c>
      <c r="F284" s="2">
        <f t="shared" si="4"/>
        <v>346.1703697</v>
      </c>
      <c r="G284" s="2">
        <f t="shared" si="5"/>
        <v>653.8296303</v>
      </c>
      <c r="H284" s="2">
        <f t="shared" si="6"/>
        <v>64253.11468</v>
      </c>
    </row>
    <row r="285">
      <c r="B285" s="3">
        <f t="shared" si="1"/>
        <v>0.064</v>
      </c>
      <c r="C285" s="3">
        <f t="shared" si="2"/>
        <v>12</v>
      </c>
      <c r="D285" s="11">
        <f t="shared" si="3"/>
        <v>23.58333333</v>
      </c>
      <c r="E285" s="3">
        <f t="shared" si="7"/>
        <v>1000</v>
      </c>
      <c r="F285" s="2">
        <f t="shared" si="4"/>
        <v>342.6832783</v>
      </c>
      <c r="G285" s="2">
        <f t="shared" si="5"/>
        <v>657.3167217</v>
      </c>
      <c r="H285" s="2">
        <f t="shared" si="6"/>
        <v>63595.79796</v>
      </c>
    </row>
    <row r="286">
      <c r="B286" s="3">
        <f t="shared" si="1"/>
        <v>0.064</v>
      </c>
      <c r="C286" s="3">
        <f t="shared" si="2"/>
        <v>12</v>
      </c>
      <c r="D286" s="11">
        <f t="shared" si="3"/>
        <v>23.66666667</v>
      </c>
      <c r="E286" s="3">
        <f t="shared" si="7"/>
        <v>1000</v>
      </c>
      <c r="F286" s="2">
        <f t="shared" si="4"/>
        <v>339.1775891</v>
      </c>
      <c r="G286" s="2">
        <f t="shared" si="5"/>
        <v>660.8224109</v>
      </c>
      <c r="H286" s="2">
        <f t="shared" si="6"/>
        <v>62934.97555</v>
      </c>
    </row>
    <row r="287">
      <c r="B287" s="3">
        <f t="shared" si="1"/>
        <v>0.064</v>
      </c>
      <c r="C287" s="3">
        <f t="shared" si="2"/>
        <v>12</v>
      </c>
      <c r="D287" s="11">
        <f t="shared" si="3"/>
        <v>23.75</v>
      </c>
      <c r="E287" s="3">
        <f t="shared" si="7"/>
        <v>1000</v>
      </c>
      <c r="F287" s="2">
        <f t="shared" si="4"/>
        <v>335.6532029</v>
      </c>
      <c r="G287" s="2">
        <f t="shared" si="5"/>
        <v>664.3467971</v>
      </c>
      <c r="H287" s="2">
        <f t="shared" si="6"/>
        <v>62270.62875</v>
      </c>
    </row>
    <row r="288">
      <c r="B288" s="3">
        <f t="shared" si="1"/>
        <v>0.064</v>
      </c>
      <c r="C288" s="3">
        <f t="shared" si="2"/>
        <v>12</v>
      </c>
      <c r="D288" s="11">
        <f t="shared" si="3"/>
        <v>23.83333333</v>
      </c>
      <c r="E288" s="3">
        <f t="shared" si="7"/>
        <v>1000</v>
      </c>
      <c r="F288" s="2">
        <f t="shared" si="4"/>
        <v>332.11002</v>
      </c>
      <c r="G288" s="2">
        <f t="shared" si="5"/>
        <v>667.88998</v>
      </c>
      <c r="H288" s="2">
        <f t="shared" si="6"/>
        <v>61602.73877</v>
      </c>
    </row>
    <row r="289">
      <c r="B289" s="3">
        <f t="shared" si="1"/>
        <v>0.064</v>
      </c>
      <c r="C289" s="3">
        <f t="shared" si="2"/>
        <v>12</v>
      </c>
      <c r="D289" s="11">
        <f t="shared" si="3"/>
        <v>23.91666667</v>
      </c>
      <c r="E289" s="3">
        <f t="shared" si="7"/>
        <v>1000</v>
      </c>
      <c r="F289" s="2">
        <f t="shared" si="4"/>
        <v>328.5479401</v>
      </c>
      <c r="G289" s="2">
        <f t="shared" si="5"/>
        <v>671.4520599</v>
      </c>
      <c r="H289" s="2">
        <f t="shared" si="6"/>
        <v>60931.28671</v>
      </c>
    </row>
    <row r="290">
      <c r="B290" s="3">
        <f t="shared" si="1"/>
        <v>0.064</v>
      </c>
      <c r="C290" s="3">
        <f t="shared" si="2"/>
        <v>12</v>
      </c>
      <c r="D290" s="11">
        <f t="shared" si="3"/>
        <v>24</v>
      </c>
      <c r="E290" s="3">
        <f t="shared" si="7"/>
        <v>1000</v>
      </c>
      <c r="F290" s="2">
        <f t="shared" si="4"/>
        <v>324.9668625</v>
      </c>
      <c r="G290" s="2">
        <f t="shared" si="5"/>
        <v>675.0331375</v>
      </c>
      <c r="H290" s="2">
        <f t="shared" si="6"/>
        <v>60256.25357</v>
      </c>
    </row>
    <row r="291">
      <c r="B291" s="3">
        <f t="shared" si="1"/>
        <v>0.064</v>
      </c>
      <c r="C291" s="3">
        <f t="shared" si="2"/>
        <v>12</v>
      </c>
      <c r="D291" s="11">
        <f t="shared" si="3"/>
        <v>24.08333333</v>
      </c>
      <c r="E291" s="3">
        <f t="shared" si="7"/>
        <v>1000</v>
      </c>
      <c r="F291" s="2">
        <f t="shared" si="4"/>
        <v>321.3666857</v>
      </c>
      <c r="G291" s="2">
        <f t="shared" si="5"/>
        <v>678.6333143</v>
      </c>
      <c r="H291" s="2">
        <f t="shared" si="6"/>
        <v>59577.62026</v>
      </c>
    </row>
    <row r="292">
      <c r="B292" s="3">
        <f t="shared" si="1"/>
        <v>0.064</v>
      </c>
      <c r="C292" s="3">
        <f t="shared" si="2"/>
        <v>12</v>
      </c>
      <c r="D292" s="11">
        <f t="shared" si="3"/>
        <v>24.16666667</v>
      </c>
      <c r="E292" s="3">
        <f t="shared" si="7"/>
        <v>1000</v>
      </c>
      <c r="F292" s="2">
        <f t="shared" si="4"/>
        <v>317.7473081</v>
      </c>
      <c r="G292" s="2">
        <f t="shared" si="5"/>
        <v>682.2526919</v>
      </c>
      <c r="H292" s="2">
        <f t="shared" si="6"/>
        <v>58895.36757</v>
      </c>
    </row>
    <row r="293">
      <c r="B293" s="3">
        <f t="shared" si="1"/>
        <v>0.064</v>
      </c>
      <c r="C293" s="3">
        <f t="shared" si="2"/>
        <v>12</v>
      </c>
      <c r="D293" s="11">
        <f t="shared" si="3"/>
        <v>24.25</v>
      </c>
      <c r="E293" s="3">
        <f t="shared" si="7"/>
        <v>1000</v>
      </c>
      <c r="F293" s="2">
        <f t="shared" si="4"/>
        <v>314.108627</v>
      </c>
      <c r="G293" s="2">
        <f t="shared" si="5"/>
        <v>685.891373</v>
      </c>
      <c r="H293" s="2">
        <f t="shared" si="6"/>
        <v>58209.4762</v>
      </c>
    </row>
    <row r="294">
      <c r="B294" s="3">
        <f t="shared" si="1"/>
        <v>0.064</v>
      </c>
      <c r="C294" s="3">
        <f t="shared" si="2"/>
        <v>12</v>
      </c>
      <c r="D294" s="11">
        <f t="shared" si="3"/>
        <v>24.33333333</v>
      </c>
      <c r="E294" s="3">
        <f t="shared" si="7"/>
        <v>1000</v>
      </c>
      <c r="F294" s="2">
        <f t="shared" si="4"/>
        <v>310.4505397</v>
      </c>
      <c r="G294" s="2">
        <f t="shared" si="5"/>
        <v>689.5494603</v>
      </c>
      <c r="H294" s="2">
        <f t="shared" si="6"/>
        <v>57519.92673</v>
      </c>
    </row>
    <row r="295">
      <c r="B295" s="3">
        <f t="shared" si="1"/>
        <v>0.064</v>
      </c>
      <c r="C295" s="3">
        <f t="shared" si="2"/>
        <v>12</v>
      </c>
      <c r="D295" s="11">
        <f t="shared" si="3"/>
        <v>24.41666667</v>
      </c>
      <c r="E295" s="3">
        <f t="shared" si="7"/>
        <v>1000</v>
      </c>
      <c r="F295" s="2">
        <f t="shared" si="4"/>
        <v>306.7729426</v>
      </c>
      <c r="G295" s="2">
        <f t="shared" si="5"/>
        <v>693.2270574</v>
      </c>
      <c r="H295" s="2">
        <f t="shared" si="6"/>
        <v>56826.69968</v>
      </c>
    </row>
    <row r="296">
      <c r="B296" s="3">
        <f t="shared" si="1"/>
        <v>0.064</v>
      </c>
      <c r="C296" s="3">
        <f t="shared" si="2"/>
        <v>12</v>
      </c>
      <c r="D296" s="11">
        <f t="shared" si="3"/>
        <v>24.5</v>
      </c>
      <c r="E296" s="3">
        <f t="shared" si="7"/>
        <v>1000</v>
      </c>
      <c r="F296" s="2">
        <f t="shared" si="4"/>
        <v>303.0757316</v>
      </c>
      <c r="G296" s="2">
        <f t="shared" si="5"/>
        <v>696.9242684</v>
      </c>
      <c r="H296" s="2">
        <f t="shared" si="6"/>
        <v>56129.77541</v>
      </c>
    </row>
    <row r="297">
      <c r="B297" s="3">
        <f t="shared" si="1"/>
        <v>0.064</v>
      </c>
      <c r="C297" s="3">
        <f t="shared" si="2"/>
        <v>12</v>
      </c>
      <c r="D297" s="11">
        <f t="shared" si="3"/>
        <v>24.58333333</v>
      </c>
      <c r="E297" s="3">
        <f t="shared" si="7"/>
        <v>1000</v>
      </c>
      <c r="F297" s="2">
        <f t="shared" si="4"/>
        <v>299.3588022</v>
      </c>
      <c r="G297" s="2">
        <f t="shared" si="5"/>
        <v>700.6411978</v>
      </c>
      <c r="H297" s="2">
        <f t="shared" si="6"/>
        <v>55429.13421</v>
      </c>
    </row>
    <row r="298">
      <c r="B298" s="3">
        <f t="shared" si="1"/>
        <v>0.064</v>
      </c>
      <c r="C298" s="3">
        <f t="shared" si="2"/>
        <v>12</v>
      </c>
      <c r="D298" s="11">
        <f t="shared" si="3"/>
        <v>24.66666667</v>
      </c>
      <c r="E298" s="3">
        <f t="shared" si="7"/>
        <v>1000</v>
      </c>
      <c r="F298" s="2">
        <f t="shared" si="4"/>
        <v>295.6220491</v>
      </c>
      <c r="G298" s="2">
        <f t="shared" si="5"/>
        <v>704.3779509</v>
      </c>
      <c r="H298" s="2">
        <f t="shared" si="6"/>
        <v>54724.75626</v>
      </c>
    </row>
    <row r="299">
      <c r="B299" s="3">
        <f t="shared" si="1"/>
        <v>0.064</v>
      </c>
      <c r="C299" s="3">
        <f t="shared" si="2"/>
        <v>12</v>
      </c>
      <c r="D299" s="11">
        <f t="shared" si="3"/>
        <v>24.75</v>
      </c>
      <c r="E299" s="3">
        <f t="shared" si="7"/>
        <v>1000</v>
      </c>
      <c r="F299" s="2">
        <f t="shared" si="4"/>
        <v>291.8653667</v>
      </c>
      <c r="G299" s="2">
        <f t="shared" si="5"/>
        <v>708.1346333</v>
      </c>
      <c r="H299" s="2">
        <f t="shared" si="6"/>
        <v>54016.62163</v>
      </c>
    </row>
    <row r="300">
      <c r="B300" s="3">
        <f t="shared" si="1"/>
        <v>0.064</v>
      </c>
      <c r="C300" s="3">
        <f t="shared" si="2"/>
        <v>12</v>
      </c>
      <c r="D300" s="11">
        <f t="shared" si="3"/>
        <v>24.83333333</v>
      </c>
      <c r="E300" s="3">
        <f t="shared" si="7"/>
        <v>1000</v>
      </c>
      <c r="F300" s="2">
        <f t="shared" si="4"/>
        <v>288.0886487</v>
      </c>
      <c r="G300" s="2">
        <f t="shared" si="5"/>
        <v>711.9113513</v>
      </c>
      <c r="H300" s="2">
        <f t="shared" si="6"/>
        <v>53304.71028</v>
      </c>
    </row>
    <row r="301">
      <c r="B301" s="3">
        <f t="shared" si="1"/>
        <v>0.064</v>
      </c>
      <c r="C301" s="3">
        <f t="shared" si="2"/>
        <v>12</v>
      </c>
      <c r="D301" s="11">
        <f t="shared" si="3"/>
        <v>24.91666667</v>
      </c>
      <c r="E301" s="3">
        <f t="shared" si="7"/>
        <v>1000</v>
      </c>
      <c r="F301" s="2">
        <f t="shared" si="4"/>
        <v>284.2917881</v>
      </c>
      <c r="G301" s="2">
        <f t="shared" si="5"/>
        <v>715.7082119</v>
      </c>
      <c r="H301" s="2">
        <f t="shared" si="6"/>
        <v>52589.00206</v>
      </c>
    </row>
    <row r="302">
      <c r="B302" s="3">
        <f t="shared" si="1"/>
        <v>0.064</v>
      </c>
      <c r="C302" s="3">
        <f t="shared" si="2"/>
        <v>12</v>
      </c>
      <c r="D302" s="11">
        <f t="shared" si="3"/>
        <v>25</v>
      </c>
      <c r="E302" s="3">
        <f t="shared" si="7"/>
        <v>1000</v>
      </c>
      <c r="F302" s="2">
        <f t="shared" si="4"/>
        <v>280.4746777</v>
      </c>
      <c r="G302" s="2">
        <f t="shared" si="5"/>
        <v>719.5253223</v>
      </c>
      <c r="H302" s="2">
        <f t="shared" si="6"/>
        <v>51869.47674</v>
      </c>
    </row>
    <row r="303">
      <c r="B303" s="3">
        <f t="shared" si="1"/>
        <v>0.064</v>
      </c>
      <c r="C303" s="3">
        <f t="shared" si="2"/>
        <v>12</v>
      </c>
      <c r="D303" s="11">
        <f t="shared" si="3"/>
        <v>25.08333333</v>
      </c>
      <c r="E303" s="3">
        <f t="shared" si="7"/>
        <v>1000</v>
      </c>
      <c r="F303" s="2">
        <f t="shared" si="4"/>
        <v>276.6372093</v>
      </c>
      <c r="G303" s="2">
        <f t="shared" si="5"/>
        <v>723.3627907</v>
      </c>
      <c r="H303" s="2">
        <f t="shared" si="6"/>
        <v>51146.11395</v>
      </c>
    </row>
    <row r="304">
      <c r="B304" s="3">
        <f t="shared" si="1"/>
        <v>0.064</v>
      </c>
      <c r="C304" s="3">
        <f t="shared" si="2"/>
        <v>12</v>
      </c>
      <c r="D304" s="11">
        <f t="shared" si="3"/>
        <v>25.16666667</v>
      </c>
      <c r="E304" s="3">
        <f t="shared" si="7"/>
        <v>1000</v>
      </c>
      <c r="F304" s="2">
        <f t="shared" si="4"/>
        <v>272.7792744</v>
      </c>
      <c r="G304" s="2">
        <f t="shared" si="5"/>
        <v>727.2207256</v>
      </c>
      <c r="H304" s="2">
        <f t="shared" si="6"/>
        <v>50418.89323</v>
      </c>
    </row>
    <row r="305">
      <c r="B305" s="3">
        <f t="shared" si="1"/>
        <v>0.064</v>
      </c>
      <c r="C305" s="3">
        <f t="shared" si="2"/>
        <v>12</v>
      </c>
      <c r="D305" s="11">
        <f t="shared" si="3"/>
        <v>25.25</v>
      </c>
      <c r="E305" s="3">
        <f t="shared" si="7"/>
        <v>1000</v>
      </c>
      <c r="F305" s="2">
        <f t="shared" si="4"/>
        <v>268.9007639</v>
      </c>
      <c r="G305" s="2">
        <f t="shared" si="5"/>
        <v>731.0992361</v>
      </c>
      <c r="H305" s="2">
        <f t="shared" si="6"/>
        <v>49687.79399</v>
      </c>
    </row>
    <row r="306">
      <c r="B306" s="3">
        <f t="shared" si="1"/>
        <v>0.064</v>
      </c>
      <c r="C306" s="3">
        <f t="shared" si="2"/>
        <v>12</v>
      </c>
      <c r="D306" s="11">
        <f t="shared" si="3"/>
        <v>25.33333333</v>
      </c>
      <c r="E306" s="3">
        <f t="shared" si="7"/>
        <v>1000</v>
      </c>
      <c r="F306" s="2">
        <f t="shared" si="4"/>
        <v>265.0015679</v>
      </c>
      <c r="G306" s="2">
        <f t="shared" si="5"/>
        <v>734.9984321</v>
      </c>
      <c r="H306" s="2">
        <f t="shared" si="6"/>
        <v>48952.79556</v>
      </c>
    </row>
    <row r="307">
      <c r="B307" s="3">
        <f t="shared" si="1"/>
        <v>0.064</v>
      </c>
      <c r="C307" s="3">
        <f t="shared" si="2"/>
        <v>12</v>
      </c>
      <c r="D307" s="11">
        <f t="shared" si="3"/>
        <v>25.41666667</v>
      </c>
      <c r="E307" s="3">
        <f t="shared" si="7"/>
        <v>1000</v>
      </c>
      <c r="F307" s="2">
        <f t="shared" si="4"/>
        <v>261.0815763</v>
      </c>
      <c r="G307" s="2">
        <f t="shared" si="5"/>
        <v>738.9184237</v>
      </c>
      <c r="H307" s="2">
        <f t="shared" si="6"/>
        <v>48213.87713</v>
      </c>
    </row>
    <row r="308">
      <c r="B308" s="3">
        <f t="shared" si="1"/>
        <v>0.064</v>
      </c>
      <c r="C308" s="3">
        <f t="shared" si="2"/>
        <v>12</v>
      </c>
      <c r="D308" s="11">
        <f t="shared" si="3"/>
        <v>25.5</v>
      </c>
      <c r="E308" s="3">
        <f t="shared" si="7"/>
        <v>1000</v>
      </c>
      <c r="F308" s="2">
        <f t="shared" si="4"/>
        <v>257.140678</v>
      </c>
      <c r="G308" s="2">
        <f t="shared" si="5"/>
        <v>742.859322</v>
      </c>
      <c r="H308" s="2">
        <f t="shared" si="6"/>
        <v>47471.01781</v>
      </c>
    </row>
    <row r="309">
      <c r="B309" s="3">
        <f t="shared" si="1"/>
        <v>0.064</v>
      </c>
      <c r="C309" s="3">
        <f t="shared" si="2"/>
        <v>12</v>
      </c>
      <c r="D309" s="11">
        <f t="shared" si="3"/>
        <v>25.58333333</v>
      </c>
      <c r="E309" s="3">
        <f t="shared" si="7"/>
        <v>1000</v>
      </c>
      <c r="F309" s="2">
        <f t="shared" si="4"/>
        <v>253.1787617</v>
      </c>
      <c r="G309" s="2">
        <f t="shared" si="5"/>
        <v>746.8212383</v>
      </c>
      <c r="H309" s="2">
        <f t="shared" si="6"/>
        <v>46724.19657</v>
      </c>
    </row>
    <row r="310">
      <c r="B310" s="3">
        <f t="shared" si="1"/>
        <v>0.064</v>
      </c>
      <c r="C310" s="3">
        <f t="shared" si="2"/>
        <v>12</v>
      </c>
      <c r="D310" s="11">
        <f t="shared" si="3"/>
        <v>25.66666667</v>
      </c>
      <c r="E310" s="3">
        <f t="shared" si="7"/>
        <v>1000</v>
      </c>
      <c r="F310" s="2">
        <f t="shared" si="4"/>
        <v>249.1957151</v>
      </c>
      <c r="G310" s="2">
        <f t="shared" si="5"/>
        <v>750.8042849</v>
      </c>
      <c r="H310" s="2">
        <f t="shared" si="6"/>
        <v>45973.39229</v>
      </c>
    </row>
    <row r="311">
      <c r="B311" s="3">
        <f t="shared" si="1"/>
        <v>0.064</v>
      </c>
      <c r="C311" s="3">
        <f t="shared" si="2"/>
        <v>12</v>
      </c>
      <c r="D311" s="11">
        <f t="shared" si="3"/>
        <v>25.75</v>
      </c>
      <c r="E311" s="3">
        <f t="shared" si="7"/>
        <v>1000</v>
      </c>
      <c r="F311" s="2">
        <f t="shared" si="4"/>
        <v>245.1914255</v>
      </c>
      <c r="G311" s="2">
        <f t="shared" si="5"/>
        <v>754.8085745</v>
      </c>
      <c r="H311" s="2">
        <f t="shared" si="6"/>
        <v>45218.58371</v>
      </c>
    </row>
    <row r="312">
      <c r="B312" s="3">
        <f t="shared" si="1"/>
        <v>0.064</v>
      </c>
      <c r="C312" s="3">
        <f t="shared" si="2"/>
        <v>12</v>
      </c>
      <c r="D312" s="11">
        <f t="shared" si="3"/>
        <v>25.83333333</v>
      </c>
      <c r="E312" s="3">
        <f t="shared" si="7"/>
        <v>1000</v>
      </c>
      <c r="F312" s="2">
        <f t="shared" si="4"/>
        <v>241.1657798</v>
      </c>
      <c r="G312" s="2">
        <f t="shared" si="5"/>
        <v>758.8342202</v>
      </c>
      <c r="H312" s="2">
        <f t="shared" si="6"/>
        <v>44459.74949</v>
      </c>
    </row>
    <row r="313">
      <c r="B313" s="3">
        <f t="shared" si="1"/>
        <v>0.064</v>
      </c>
      <c r="C313" s="3">
        <f t="shared" si="2"/>
        <v>12</v>
      </c>
      <c r="D313" s="11">
        <f t="shared" si="3"/>
        <v>25.91666667</v>
      </c>
      <c r="E313" s="3">
        <f t="shared" si="7"/>
        <v>1000</v>
      </c>
      <c r="F313" s="2">
        <f t="shared" si="4"/>
        <v>237.118664</v>
      </c>
      <c r="G313" s="2">
        <f t="shared" si="5"/>
        <v>762.881336</v>
      </c>
      <c r="H313" s="2">
        <f t="shared" si="6"/>
        <v>43696.86816</v>
      </c>
    </row>
    <row r="314">
      <c r="B314" s="3">
        <f t="shared" si="1"/>
        <v>0.064</v>
      </c>
      <c r="C314" s="3">
        <f t="shared" si="2"/>
        <v>12</v>
      </c>
      <c r="D314" s="11">
        <f t="shared" si="3"/>
        <v>26</v>
      </c>
      <c r="E314" s="3">
        <f t="shared" si="7"/>
        <v>1000</v>
      </c>
      <c r="F314" s="2">
        <f t="shared" si="4"/>
        <v>233.0499635</v>
      </c>
      <c r="G314" s="2">
        <f t="shared" si="5"/>
        <v>766.9500365</v>
      </c>
      <c r="H314" s="2">
        <f t="shared" si="6"/>
        <v>42929.91812</v>
      </c>
    </row>
    <row r="315">
      <c r="B315" s="3">
        <f t="shared" si="1"/>
        <v>0.064</v>
      </c>
      <c r="C315" s="3">
        <f t="shared" si="2"/>
        <v>12</v>
      </c>
      <c r="D315" s="11">
        <f t="shared" si="3"/>
        <v>26.08333333</v>
      </c>
      <c r="E315" s="3">
        <f t="shared" si="7"/>
        <v>1000</v>
      </c>
      <c r="F315" s="2">
        <f t="shared" si="4"/>
        <v>228.9595633</v>
      </c>
      <c r="G315" s="2">
        <f t="shared" si="5"/>
        <v>771.0404367</v>
      </c>
      <c r="H315" s="2">
        <f t="shared" si="6"/>
        <v>42158.87768</v>
      </c>
    </row>
    <row r="316">
      <c r="B316" s="3">
        <f t="shared" si="1"/>
        <v>0.064</v>
      </c>
      <c r="C316" s="3">
        <f t="shared" si="2"/>
        <v>12</v>
      </c>
      <c r="D316" s="11">
        <f t="shared" si="3"/>
        <v>26.16666667</v>
      </c>
      <c r="E316" s="3">
        <f t="shared" si="7"/>
        <v>1000</v>
      </c>
      <c r="F316" s="2">
        <f t="shared" si="4"/>
        <v>224.8473476</v>
      </c>
      <c r="G316" s="2">
        <f t="shared" si="5"/>
        <v>775.1526524</v>
      </c>
      <c r="H316" s="2">
        <f t="shared" si="6"/>
        <v>41383.72503</v>
      </c>
    </row>
    <row r="317">
      <c r="B317" s="3">
        <f t="shared" si="1"/>
        <v>0.064</v>
      </c>
      <c r="C317" s="3">
        <f t="shared" si="2"/>
        <v>12</v>
      </c>
      <c r="D317" s="11">
        <f t="shared" si="3"/>
        <v>26.25</v>
      </c>
      <c r="E317" s="3">
        <f t="shared" si="7"/>
        <v>1000</v>
      </c>
      <c r="F317" s="2">
        <f t="shared" si="4"/>
        <v>220.7132002</v>
      </c>
      <c r="G317" s="2">
        <f t="shared" si="5"/>
        <v>779.2867998</v>
      </c>
      <c r="H317" s="2">
        <f t="shared" si="6"/>
        <v>40604.43823</v>
      </c>
    </row>
    <row r="318">
      <c r="B318" s="3">
        <f t="shared" si="1"/>
        <v>0.064</v>
      </c>
      <c r="C318" s="3">
        <f t="shared" si="2"/>
        <v>12</v>
      </c>
      <c r="D318" s="11">
        <f t="shared" si="3"/>
        <v>26.33333333</v>
      </c>
      <c r="E318" s="3">
        <f t="shared" si="7"/>
        <v>1000</v>
      </c>
      <c r="F318" s="2">
        <f t="shared" si="4"/>
        <v>216.5570039</v>
      </c>
      <c r="G318" s="2">
        <f t="shared" si="5"/>
        <v>783.4429961</v>
      </c>
      <c r="H318" s="2">
        <f t="shared" si="6"/>
        <v>39820.99524</v>
      </c>
    </row>
    <row r="319">
      <c r="B319" s="3">
        <f t="shared" si="1"/>
        <v>0.064</v>
      </c>
      <c r="C319" s="3">
        <f t="shared" si="2"/>
        <v>12</v>
      </c>
      <c r="D319" s="11">
        <f t="shared" si="3"/>
        <v>26.41666667</v>
      </c>
      <c r="E319" s="3">
        <f t="shared" si="7"/>
        <v>1000</v>
      </c>
      <c r="F319" s="2">
        <f t="shared" si="4"/>
        <v>212.3786413</v>
      </c>
      <c r="G319" s="2">
        <f t="shared" si="5"/>
        <v>787.6213587</v>
      </c>
      <c r="H319" s="2">
        <f t="shared" si="6"/>
        <v>39033.37388</v>
      </c>
    </row>
    <row r="320">
      <c r="B320" s="3">
        <f t="shared" si="1"/>
        <v>0.064</v>
      </c>
      <c r="C320" s="3">
        <f t="shared" si="2"/>
        <v>12</v>
      </c>
      <c r="D320" s="11">
        <f t="shared" si="3"/>
        <v>26.5</v>
      </c>
      <c r="E320" s="3">
        <f t="shared" si="7"/>
        <v>1000</v>
      </c>
      <c r="F320" s="2">
        <f t="shared" si="4"/>
        <v>208.177994</v>
      </c>
      <c r="G320" s="2">
        <f t="shared" si="5"/>
        <v>791.822006</v>
      </c>
      <c r="H320" s="2">
        <f t="shared" si="6"/>
        <v>38241.55187</v>
      </c>
    </row>
    <row r="321">
      <c r="B321" s="3">
        <f t="shared" si="1"/>
        <v>0.064</v>
      </c>
      <c r="C321" s="3">
        <f t="shared" si="2"/>
        <v>12</v>
      </c>
      <c r="D321" s="11">
        <f t="shared" si="3"/>
        <v>26.58333333</v>
      </c>
      <c r="E321" s="3">
        <f t="shared" si="7"/>
        <v>1000</v>
      </c>
      <c r="F321" s="2">
        <f t="shared" si="4"/>
        <v>203.9549433</v>
      </c>
      <c r="G321" s="2">
        <f t="shared" si="5"/>
        <v>796.0450567</v>
      </c>
      <c r="H321" s="2">
        <f t="shared" si="6"/>
        <v>37445.50681</v>
      </c>
    </row>
    <row r="322">
      <c r="B322" s="3">
        <f t="shared" si="1"/>
        <v>0.064</v>
      </c>
      <c r="C322" s="3">
        <f t="shared" si="2"/>
        <v>12</v>
      </c>
      <c r="D322" s="11">
        <f t="shared" si="3"/>
        <v>26.66666667</v>
      </c>
      <c r="E322" s="3">
        <f t="shared" si="7"/>
        <v>1000</v>
      </c>
      <c r="F322" s="2">
        <f t="shared" si="4"/>
        <v>199.7093697</v>
      </c>
      <c r="G322" s="2">
        <f t="shared" si="5"/>
        <v>800.2906303</v>
      </c>
      <c r="H322" s="2">
        <f t="shared" si="6"/>
        <v>36645.21618</v>
      </c>
    </row>
    <row r="323">
      <c r="B323" s="3">
        <f t="shared" si="1"/>
        <v>0.064</v>
      </c>
      <c r="C323" s="3">
        <f t="shared" si="2"/>
        <v>12</v>
      </c>
      <c r="D323" s="11">
        <f t="shared" si="3"/>
        <v>26.75</v>
      </c>
      <c r="E323" s="3">
        <f t="shared" si="7"/>
        <v>1000</v>
      </c>
      <c r="F323" s="2">
        <f t="shared" si="4"/>
        <v>195.441153</v>
      </c>
      <c r="G323" s="2">
        <f t="shared" si="5"/>
        <v>804.558847</v>
      </c>
      <c r="H323" s="2">
        <f t="shared" si="6"/>
        <v>35840.65734</v>
      </c>
    </row>
    <row r="324">
      <c r="B324" s="3">
        <f t="shared" si="1"/>
        <v>0.064</v>
      </c>
      <c r="C324" s="3">
        <f t="shared" si="2"/>
        <v>12</v>
      </c>
      <c r="D324" s="11">
        <f t="shared" si="3"/>
        <v>26.83333333</v>
      </c>
      <c r="E324" s="3">
        <f t="shared" si="7"/>
        <v>1000</v>
      </c>
      <c r="F324" s="2">
        <f t="shared" si="4"/>
        <v>191.1501725</v>
      </c>
      <c r="G324" s="2">
        <f t="shared" si="5"/>
        <v>808.8498275</v>
      </c>
      <c r="H324" s="2">
        <f t="shared" si="6"/>
        <v>35031.80751</v>
      </c>
    </row>
    <row r="325">
      <c r="B325" s="3">
        <f t="shared" si="1"/>
        <v>0.064</v>
      </c>
      <c r="C325" s="3">
        <f t="shared" si="2"/>
        <v>12</v>
      </c>
      <c r="D325" s="11">
        <f t="shared" si="3"/>
        <v>26.91666667</v>
      </c>
      <c r="E325" s="3">
        <f t="shared" si="7"/>
        <v>1000</v>
      </c>
      <c r="F325" s="2">
        <f t="shared" si="4"/>
        <v>186.8363067</v>
      </c>
      <c r="G325" s="2">
        <f t="shared" si="5"/>
        <v>813.1636933</v>
      </c>
      <c r="H325" s="2">
        <f t="shared" si="6"/>
        <v>34218.64382</v>
      </c>
    </row>
    <row r="326">
      <c r="B326" s="3">
        <f t="shared" si="1"/>
        <v>0.064</v>
      </c>
      <c r="C326" s="3">
        <f t="shared" si="2"/>
        <v>12</v>
      </c>
      <c r="D326" s="11">
        <f t="shared" si="3"/>
        <v>27</v>
      </c>
      <c r="E326" s="3">
        <f t="shared" si="7"/>
        <v>1000</v>
      </c>
      <c r="F326" s="2">
        <f t="shared" si="4"/>
        <v>182.4994337</v>
      </c>
      <c r="G326" s="2">
        <f t="shared" si="5"/>
        <v>817.5005663</v>
      </c>
      <c r="H326" s="2">
        <f t="shared" si="6"/>
        <v>33401.14325</v>
      </c>
    </row>
    <row r="327">
      <c r="B327" s="3">
        <f t="shared" si="1"/>
        <v>0.064</v>
      </c>
      <c r="C327" s="3">
        <f t="shared" si="2"/>
        <v>12</v>
      </c>
      <c r="D327" s="11">
        <f t="shared" si="3"/>
        <v>27.08333333</v>
      </c>
      <c r="E327" s="3">
        <f t="shared" si="7"/>
        <v>1000</v>
      </c>
      <c r="F327" s="2">
        <f t="shared" si="4"/>
        <v>178.1394307</v>
      </c>
      <c r="G327" s="2">
        <f t="shared" si="5"/>
        <v>821.8605693</v>
      </c>
      <c r="H327" s="2">
        <f t="shared" si="6"/>
        <v>32579.28268</v>
      </c>
    </row>
    <row r="328">
      <c r="B328" s="3">
        <f t="shared" si="1"/>
        <v>0.064</v>
      </c>
      <c r="C328" s="3">
        <f t="shared" si="2"/>
        <v>12</v>
      </c>
      <c r="D328" s="11">
        <f t="shared" si="3"/>
        <v>27.16666667</v>
      </c>
      <c r="E328" s="3">
        <f t="shared" si="7"/>
        <v>1000</v>
      </c>
      <c r="F328" s="2">
        <f t="shared" si="4"/>
        <v>173.7561743</v>
      </c>
      <c r="G328" s="2">
        <f t="shared" si="5"/>
        <v>826.2438257</v>
      </c>
      <c r="H328" s="2">
        <f t="shared" si="6"/>
        <v>31753.03885</v>
      </c>
    </row>
    <row r="329">
      <c r="B329" s="3">
        <f t="shared" si="1"/>
        <v>0.064</v>
      </c>
      <c r="C329" s="3">
        <f t="shared" si="2"/>
        <v>12</v>
      </c>
      <c r="D329" s="11">
        <f t="shared" si="3"/>
        <v>27.25</v>
      </c>
      <c r="E329" s="3">
        <f t="shared" si="7"/>
        <v>1000</v>
      </c>
      <c r="F329" s="2">
        <f t="shared" si="4"/>
        <v>169.3495406</v>
      </c>
      <c r="G329" s="2">
        <f t="shared" si="5"/>
        <v>830.6504594</v>
      </c>
      <c r="H329" s="2">
        <f t="shared" si="6"/>
        <v>30922.3884</v>
      </c>
    </row>
    <row r="330">
      <c r="B330" s="3">
        <f t="shared" si="1"/>
        <v>0.064</v>
      </c>
      <c r="C330" s="3">
        <f t="shared" si="2"/>
        <v>12</v>
      </c>
      <c r="D330" s="11">
        <f t="shared" si="3"/>
        <v>27.33333333</v>
      </c>
      <c r="E330" s="3">
        <f t="shared" si="7"/>
        <v>1000</v>
      </c>
      <c r="F330" s="2">
        <f t="shared" si="4"/>
        <v>164.9194048</v>
      </c>
      <c r="G330" s="2">
        <f t="shared" si="5"/>
        <v>835.0805952</v>
      </c>
      <c r="H330" s="2">
        <f t="shared" si="6"/>
        <v>30087.3078</v>
      </c>
    </row>
    <row r="331">
      <c r="B331" s="3">
        <f t="shared" si="1"/>
        <v>0.064</v>
      </c>
      <c r="C331" s="3">
        <f t="shared" si="2"/>
        <v>12</v>
      </c>
      <c r="D331" s="11">
        <f t="shared" si="3"/>
        <v>27.41666667</v>
      </c>
      <c r="E331" s="3">
        <f t="shared" si="7"/>
        <v>1000</v>
      </c>
      <c r="F331" s="2">
        <f t="shared" si="4"/>
        <v>160.4656416</v>
      </c>
      <c r="G331" s="2">
        <f t="shared" si="5"/>
        <v>839.5343584</v>
      </c>
      <c r="H331" s="2">
        <f t="shared" si="6"/>
        <v>29247.77344</v>
      </c>
    </row>
    <row r="332">
      <c r="B332" s="3">
        <f t="shared" si="1"/>
        <v>0.064</v>
      </c>
      <c r="C332" s="3">
        <f t="shared" si="2"/>
        <v>12</v>
      </c>
      <c r="D332" s="11">
        <f t="shared" si="3"/>
        <v>27.5</v>
      </c>
      <c r="E332" s="3">
        <f t="shared" si="7"/>
        <v>1000</v>
      </c>
      <c r="F332" s="2">
        <f t="shared" si="4"/>
        <v>155.988125</v>
      </c>
      <c r="G332" s="2">
        <f t="shared" si="5"/>
        <v>844.011875</v>
      </c>
      <c r="H332" s="2">
        <f t="shared" si="6"/>
        <v>28403.76157</v>
      </c>
    </row>
    <row r="333">
      <c r="B333" s="3">
        <f t="shared" si="1"/>
        <v>0.064</v>
      </c>
      <c r="C333" s="3">
        <f t="shared" si="2"/>
        <v>12</v>
      </c>
      <c r="D333" s="11">
        <f t="shared" si="3"/>
        <v>27.58333333</v>
      </c>
      <c r="E333" s="3">
        <f t="shared" si="7"/>
        <v>1000</v>
      </c>
      <c r="F333" s="2">
        <f t="shared" si="4"/>
        <v>151.4867284</v>
      </c>
      <c r="G333" s="2">
        <f t="shared" si="5"/>
        <v>848.5132716</v>
      </c>
      <c r="H333" s="2">
        <f t="shared" si="6"/>
        <v>27555.2483</v>
      </c>
    </row>
    <row r="334">
      <c r="B334" s="3">
        <f t="shared" si="1"/>
        <v>0.064</v>
      </c>
      <c r="C334" s="3">
        <f t="shared" si="2"/>
        <v>12</v>
      </c>
      <c r="D334" s="11">
        <f t="shared" si="3"/>
        <v>27.66666667</v>
      </c>
      <c r="E334" s="3">
        <f t="shared" si="7"/>
        <v>1000</v>
      </c>
      <c r="F334" s="2">
        <f t="shared" si="4"/>
        <v>146.9613242</v>
      </c>
      <c r="G334" s="2">
        <f t="shared" si="5"/>
        <v>853.0386758</v>
      </c>
      <c r="H334" s="2">
        <f t="shared" si="6"/>
        <v>26702.20962</v>
      </c>
    </row>
    <row r="335">
      <c r="B335" s="3">
        <f t="shared" si="1"/>
        <v>0.064</v>
      </c>
      <c r="C335" s="3">
        <f t="shared" si="2"/>
        <v>12</v>
      </c>
      <c r="D335" s="11">
        <f t="shared" si="3"/>
        <v>27.75</v>
      </c>
      <c r="E335" s="3">
        <f t="shared" si="7"/>
        <v>1000</v>
      </c>
      <c r="F335" s="2">
        <f t="shared" si="4"/>
        <v>142.4117846</v>
      </c>
      <c r="G335" s="2">
        <f t="shared" si="5"/>
        <v>857.5882154</v>
      </c>
      <c r="H335" s="2">
        <f t="shared" si="6"/>
        <v>25844.6214</v>
      </c>
    </row>
    <row r="336">
      <c r="B336" s="3">
        <f t="shared" si="1"/>
        <v>0.064</v>
      </c>
      <c r="C336" s="3">
        <f t="shared" si="2"/>
        <v>12</v>
      </c>
      <c r="D336" s="11">
        <f t="shared" si="3"/>
        <v>27.83333333</v>
      </c>
      <c r="E336" s="3">
        <f t="shared" si="7"/>
        <v>1000</v>
      </c>
      <c r="F336" s="2">
        <f t="shared" si="4"/>
        <v>137.8379808</v>
      </c>
      <c r="G336" s="2">
        <f t="shared" si="5"/>
        <v>862.1620192</v>
      </c>
      <c r="H336" s="2">
        <f t="shared" si="6"/>
        <v>24982.45938</v>
      </c>
    </row>
    <row r="337">
      <c r="B337" s="3">
        <f t="shared" si="1"/>
        <v>0.064</v>
      </c>
      <c r="C337" s="3">
        <f t="shared" si="2"/>
        <v>12</v>
      </c>
      <c r="D337" s="11">
        <f t="shared" si="3"/>
        <v>27.91666667</v>
      </c>
      <c r="E337" s="3">
        <f t="shared" si="7"/>
        <v>1000</v>
      </c>
      <c r="F337" s="2">
        <f t="shared" si="4"/>
        <v>133.2397834</v>
      </c>
      <c r="G337" s="2">
        <f t="shared" si="5"/>
        <v>866.7602166</v>
      </c>
      <c r="H337" s="2">
        <f t="shared" si="6"/>
        <v>24115.69917</v>
      </c>
    </row>
    <row r="338">
      <c r="B338" s="3">
        <f t="shared" si="1"/>
        <v>0.064</v>
      </c>
      <c r="C338" s="3">
        <f t="shared" si="2"/>
        <v>12</v>
      </c>
      <c r="D338" s="11">
        <f t="shared" si="3"/>
        <v>28</v>
      </c>
      <c r="E338" s="3">
        <f t="shared" si="7"/>
        <v>1000</v>
      </c>
      <c r="F338" s="2">
        <f t="shared" si="4"/>
        <v>128.6170622</v>
      </c>
      <c r="G338" s="2">
        <f t="shared" si="5"/>
        <v>871.3829378</v>
      </c>
      <c r="H338" s="2">
        <f t="shared" si="6"/>
        <v>23244.31623</v>
      </c>
    </row>
    <row r="339">
      <c r="B339" s="3">
        <f t="shared" si="1"/>
        <v>0.064</v>
      </c>
      <c r="C339" s="3">
        <f t="shared" si="2"/>
        <v>12</v>
      </c>
      <c r="D339" s="11">
        <f t="shared" si="3"/>
        <v>28.08333333</v>
      </c>
      <c r="E339" s="3">
        <f t="shared" si="7"/>
        <v>1000</v>
      </c>
      <c r="F339" s="2">
        <f t="shared" si="4"/>
        <v>123.9696866</v>
      </c>
      <c r="G339" s="2">
        <f t="shared" si="5"/>
        <v>876.0303134</v>
      </c>
      <c r="H339" s="2">
        <f t="shared" si="6"/>
        <v>22368.28592</v>
      </c>
    </row>
    <row r="340">
      <c r="B340" s="3">
        <f t="shared" si="1"/>
        <v>0.064</v>
      </c>
      <c r="C340" s="3">
        <f t="shared" si="2"/>
        <v>12</v>
      </c>
      <c r="D340" s="11">
        <f t="shared" si="3"/>
        <v>28.16666667</v>
      </c>
      <c r="E340" s="3">
        <f t="shared" si="7"/>
        <v>1000</v>
      </c>
      <c r="F340" s="2">
        <f t="shared" si="4"/>
        <v>119.2975249</v>
      </c>
      <c r="G340" s="2">
        <f t="shared" si="5"/>
        <v>880.7024751</v>
      </c>
      <c r="H340" s="2">
        <f t="shared" si="6"/>
        <v>21487.58344</v>
      </c>
    </row>
    <row r="341">
      <c r="B341" s="3">
        <f t="shared" si="1"/>
        <v>0.064</v>
      </c>
      <c r="C341" s="3">
        <f t="shared" si="2"/>
        <v>12</v>
      </c>
      <c r="D341" s="11">
        <f t="shared" si="3"/>
        <v>28.25</v>
      </c>
      <c r="E341" s="3">
        <f t="shared" si="7"/>
        <v>1000</v>
      </c>
      <c r="F341" s="2">
        <f t="shared" si="4"/>
        <v>114.600445</v>
      </c>
      <c r="G341" s="2">
        <f t="shared" si="5"/>
        <v>885.399555</v>
      </c>
      <c r="H341" s="2">
        <f t="shared" si="6"/>
        <v>20602.18389</v>
      </c>
    </row>
    <row r="342">
      <c r="B342" s="3">
        <f t="shared" si="1"/>
        <v>0.064</v>
      </c>
      <c r="C342" s="3">
        <f t="shared" si="2"/>
        <v>12</v>
      </c>
      <c r="D342" s="11">
        <f t="shared" si="3"/>
        <v>28.33333333</v>
      </c>
      <c r="E342" s="3">
        <f t="shared" si="7"/>
        <v>1000</v>
      </c>
      <c r="F342" s="2">
        <f t="shared" si="4"/>
        <v>109.8783141</v>
      </c>
      <c r="G342" s="2">
        <f t="shared" si="5"/>
        <v>890.1216859</v>
      </c>
      <c r="H342" s="2">
        <f t="shared" si="6"/>
        <v>19712.0622</v>
      </c>
    </row>
    <row r="343">
      <c r="B343" s="3">
        <f t="shared" si="1"/>
        <v>0.064</v>
      </c>
      <c r="C343" s="3">
        <f t="shared" si="2"/>
        <v>12</v>
      </c>
      <c r="D343" s="11">
        <f t="shared" si="3"/>
        <v>28.41666667</v>
      </c>
      <c r="E343" s="3">
        <f t="shared" si="7"/>
        <v>1000</v>
      </c>
      <c r="F343" s="2">
        <f t="shared" si="4"/>
        <v>105.1309984</v>
      </c>
      <c r="G343" s="2">
        <f t="shared" si="5"/>
        <v>894.8690016</v>
      </c>
      <c r="H343" s="2">
        <f t="shared" si="6"/>
        <v>18817.1932</v>
      </c>
    </row>
    <row r="344">
      <c r="B344" s="3">
        <f t="shared" si="1"/>
        <v>0.064</v>
      </c>
      <c r="C344" s="3">
        <f t="shared" si="2"/>
        <v>12</v>
      </c>
      <c r="D344" s="11">
        <f t="shared" si="3"/>
        <v>28.5</v>
      </c>
      <c r="E344" s="3">
        <f t="shared" si="7"/>
        <v>1000</v>
      </c>
      <c r="F344" s="2">
        <f t="shared" si="4"/>
        <v>100.3583637</v>
      </c>
      <c r="G344" s="2">
        <f t="shared" si="5"/>
        <v>899.6416363</v>
      </c>
      <c r="H344" s="2">
        <f t="shared" si="6"/>
        <v>17917.55156</v>
      </c>
    </row>
    <row r="345">
      <c r="B345" s="3">
        <f t="shared" si="1"/>
        <v>0.064</v>
      </c>
      <c r="C345" s="3">
        <f t="shared" si="2"/>
        <v>12</v>
      </c>
      <c r="D345" s="11">
        <f t="shared" si="3"/>
        <v>28.58333333</v>
      </c>
      <c r="E345" s="3">
        <f t="shared" si="7"/>
        <v>1000</v>
      </c>
      <c r="F345" s="2">
        <f t="shared" si="4"/>
        <v>95.560275</v>
      </c>
      <c r="G345" s="2">
        <f t="shared" si="5"/>
        <v>904.439725</v>
      </c>
      <c r="H345" s="2">
        <f t="shared" si="6"/>
        <v>17013.11184</v>
      </c>
    </row>
    <row r="346">
      <c r="B346" s="3">
        <f t="shared" si="1"/>
        <v>0.064</v>
      </c>
      <c r="C346" s="3">
        <f t="shared" si="2"/>
        <v>12</v>
      </c>
      <c r="D346" s="11">
        <f t="shared" si="3"/>
        <v>28.66666667</v>
      </c>
      <c r="E346" s="3">
        <f t="shared" si="7"/>
        <v>1000</v>
      </c>
      <c r="F346" s="2">
        <f t="shared" si="4"/>
        <v>90.73659647</v>
      </c>
      <c r="G346" s="2">
        <f t="shared" si="5"/>
        <v>909.2634035</v>
      </c>
      <c r="H346" s="2">
        <f t="shared" si="6"/>
        <v>16103.84843</v>
      </c>
    </row>
    <row r="347">
      <c r="B347" s="3">
        <f t="shared" si="1"/>
        <v>0.064</v>
      </c>
      <c r="C347" s="3">
        <f t="shared" si="2"/>
        <v>12</v>
      </c>
      <c r="D347" s="11">
        <f t="shared" si="3"/>
        <v>28.75</v>
      </c>
      <c r="E347" s="3">
        <f t="shared" si="7"/>
        <v>1000</v>
      </c>
      <c r="F347" s="2">
        <f t="shared" si="4"/>
        <v>85.88719165</v>
      </c>
      <c r="G347" s="2">
        <f t="shared" si="5"/>
        <v>914.1128083</v>
      </c>
      <c r="H347" s="2">
        <f t="shared" si="6"/>
        <v>15189.73563</v>
      </c>
    </row>
    <row r="348">
      <c r="B348" s="3">
        <f t="shared" si="1"/>
        <v>0.064</v>
      </c>
      <c r="C348" s="3">
        <f t="shared" si="2"/>
        <v>12</v>
      </c>
      <c r="D348" s="11">
        <f t="shared" si="3"/>
        <v>28.83333333</v>
      </c>
      <c r="E348" s="3">
        <f t="shared" si="7"/>
        <v>1000</v>
      </c>
      <c r="F348" s="2">
        <f t="shared" si="4"/>
        <v>81.01192334</v>
      </c>
      <c r="G348" s="2">
        <f t="shared" si="5"/>
        <v>918.9880767</v>
      </c>
      <c r="H348" s="2">
        <f t="shared" si="6"/>
        <v>14270.74755</v>
      </c>
    </row>
    <row r="349">
      <c r="B349" s="3">
        <f t="shared" si="1"/>
        <v>0.064</v>
      </c>
      <c r="C349" s="3">
        <f t="shared" si="2"/>
        <v>12</v>
      </c>
      <c r="D349" s="11">
        <f t="shared" si="3"/>
        <v>28.91666667</v>
      </c>
      <c r="E349" s="3">
        <f t="shared" si="7"/>
        <v>1000</v>
      </c>
      <c r="F349" s="2">
        <f t="shared" si="4"/>
        <v>76.1106536</v>
      </c>
      <c r="G349" s="2">
        <f t="shared" si="5"/>
        <v>923.8893464</v>
      </c>
      <c r="H349" s="2">
        <f t="shared" si="6"/>
        <v>13346.8582</v>
      </c>
    </row>
    <row r="350">
      <c r="B350" s="3">
        <f t="shared" si="1"/>
        <v>0.064</v>
      </c>
      <c r="C350" s="3">
        <f t="shared" si="2"/>
        <v>12</v>
      </c>
      <c r="D350" s="11">
        <f t="shared" si="3"/>
        <v>29</v>
      </c>
      <c r="E350" s="3">
        <f t="shared" si="7"/>
        <v>1000</v>
      </c>
      <c r="F350" s="2">
        <f t="shared" si="4"/>
        <v>71.18324375</v>
      </c>
      <c r="G350" s="2">
        <f t="shared" si="5"/>
        <v>928.8167562</v>
      </c>
      <c r="H350" s="2">
        <f t="shared" si="6"/>
        <v>12418.04145</v>
      </c>
    </row>
    <row r="351">
      <c r="B351" s="3">
        <f t="shared" si="1"/>
        <v>0.064</v>
      </c>
      <c r="C351" s="3">
        <f t="shared" si="2"/>
        <v>12</v>
      </c>
      <c r="D351" s="11">
        <f t="shared" si="3"/>
        <v>29.08333333</v>
      </c>
      <c r="E351" s="3">
        <f t="shared" si="7"/>
        <v>1000</v>
      </c>
      <c r="F351" s="2">
        <f t="shared" si="4"/>
        <v>66.22955438</v>
      </c>
      <c r="G351" s="2">
        <f t="shared" si="5"/>
        <v>933.7704456</v>
      </c>
      <c r="H351" s="2">
        <f t="shared" si="6"/>
        <v>11484.271</v>
      </c>
    </row>
    <row r="352">
      <c r="B352" s="3">
        <f t="shared" si="1"/>
        <v>0.064</v>
      </c>
      <c r="C352" s="3">
        <f t="shared" si="2"/>
        <v>12</v>
      </c>
      <c r="D352" s="11">
        <f t="shared" si="3"/>
        <v>29.16666667</v>
      </c>
      <c r="E352" s="3">
        <f t="shared" si="7"/>
        <v>1000</v>
      </c>
      <c r="F352" s="2">
        <f t="shared" si="4"/>
        <v>61.24944534</v>
      </c>
      <c r="G352" s="2">
        <f t="shared" si="5"/>
        <v>938.7505547</v>
      </c>
      <c r="H352" s="2">
        <f t="shared" si="6"/>
        <v>10545.52045</v>
      </c>
    </row>
    <row r="353">
      <c r="B353" s="3">
        <f t="shared" si="1"/>
        <v>0.064</v>
      </c>
      <c r="C353" s="3">
        <f t="shared" si="2"/>
        <v>12</v>
      </c>
      <c r="D353" s="11">
        <f t="shared" si="3"/>
        <v>29.25</v>
      </c>
      <c r="E353" s="3">
        <f t="shared" si="7"/>
        <v>1000</v>
      </c>
      <c r="F353" s="2">
        <f t="shared" si="4"/>
        <v>56.24277572</v>
      </c>
      <c r="G353" s="2">
        <f t="shared" si="5"/>
        <v>943.7572243</v>
      </c>
      <c r="H353" s="2">
        <f t="shared" si="6"/>
        <v>9601.763223</v>
      </c>
    </row>
    <row r="354">
      <c r="B354" s="3">
        <f t="shared" si="1"/>
        <v>0.064</v>
      </c>
      <c r="C354" s="3">
        <f t="shared" si="2"/>
        <v>12</v>
      </c>
      <c r="D354" s="11">
        <f t="shared" si="3"/>
        <v>29.33333333</v>
      </c>
      <c r="E354" s="3">
        <f t="shared" si="7"/>
        <v>1000</v>
      </c>
      <c r="F354" s="2">
        <f t="shared" si="4"/>
        <v>51.20940385</v>
      </c>
      <c r="G354" s="2">
        <f t="shared" si="5"/>
        <v>948.7905961</v>
      </c>
      <c r="H354" s="2">
        <f t="shared" si="6"/>
        <v>8652.972626</v>
      </c>
    </row>
    <row r="355">
      <c r="B355" s="3">
        <f t="shared" si="1"/>
        <v>0.064</v>
      </c>
      <c r="C355" s="3">
        <f t="shared" si="2"/>
        <v>12</v>
      </c>
      <c r="D355" s="11">
        <f t="shared" si="3"/>
        <v>29.41666667</v>
      </c>
      <c r="E355" s="3">
        <f t="shared" si="7"/>
        <v>1000</v>
      </c>
      <c r="F355" s="2">
        <f t="shared" si="4"/>
        <v>46.14918734</v>
      </c>
      <c r="G355" s="2">
        <f t="shared" si="5"/>
        <v>953.8508127</v>
      </c>
      <c r="H355" s="2">
        <f t="shared" si="6"/>
        <v>7699.121814</v>
      </c>
    </row>
    <row r="356">
      <c r="B356" s="3">
        <f t="shared" si="1"/>
        <v>0.064</v>
      </c>
      <c r="C356" s="3">
        <f t="shared" si="2"/>
        <v>12</v>
      </c>
      <c r="D356" s="11">
        <f t="shared" si="3"/>
        <v>29.5</v>
      </c>
      <c r="E356" s="3">
        <f t="shared" si="7"/>
        <v>1000</v>
      </c>
      <c r="F356" s="2">
        <f t="shared" si="4"/>
        <v>41.06198301</v>
      </c>
      <c r="G356" s="2">
        <f t="shared" si="5"/>
        <v>958.938017</v>
      </c>
      <c r="H356" s="2">
        <f t="shared" si="6"/>
        <v>6740.183797</v>
      </c>
    </row>
    <row r="357">
      <c r="B357" s="3">
        <f t="shared" si="1"/>
        <v>0.064</v>
      </c>
      <c r="C357" s="3">
        <f t="shared" si="2"/>
        <v>12</v>
      </c>
      <c r="D357" s="11">
        <f t="shared" si="3"/>
        <v>29.58333333</v>
      </c>
      <c r="E357" s="3">
        <f t="shared" si="7"/>
        <v>1000</v>
      </c>
      <c r="F357" s="2">
        <f t="shared" si="4"/>
        <v>35.94764692</v>
      </c>
      <c r="G357" s="2">
        <f t="shared" si="5"/>
        <v>964.0523531</v>
      </c>
      <c r="H357" s="2">
        <f t="shared" si="6"/>
        <v>5776.131444</v>
      </c>
    </row>
    <row r="358">
      <c r="B358" s="3">
        <f t="shared" si="1"/>
        <v>0.064</v>
      </c>
      <c r="C358" s="3">
        <f t="shared" si="2"/>
        <v>12</v>
      </c>
      <c r="D358" s="11">
        <f t="shared" si="3"/>
        <v>29.66666667</v>
      </c>
      <c r="E358" s="3">
        <f t="shared" si="7"/>
        <v>1000</v>
      </c>
      <c r="F358" s="2">
        <f t="shared" si="4"/>
        <v>30.80603437</v>
      </c>
      <c r="G358" s="2">
        <f t="shared" si="5"/>
        <v>969.1939656</v>
      </c>
      <c r="H358" s="2">
        <f t="shared" si="6"/>
        <v>4806.937478</v>
      </c>
    </row>
    <row r="359">
      <c r="B359" s="3">
        <f t="shared" si="1"/>
        <v>0.064</v>
      </c>
      <c r="C359" s="3">
        <f t="shared" si="2"/>
        <v>12</v>
      </c>
      <c r="D359" s="11">
        <f t="shared" si="3"/>
        <v>29.75</v>
      </c>
      <c r="E359" s="3">
        <f t="shared" si="7"/>
        <v>1000</v>
      </c>
      <c r="F359" s="2">
        <f t="shared" si="4"/>
        <v>25.63699988</v>
      </c>
      <c r="G359" s="2">
        <f t="shared" si="5"/>
        <v>974.3630001</v>
      </c>
      <c r="H359" s="2">
        <f t="shared" si="6"/>
        <v>3832.574478</v>
      </c>
    </row>
    <row r="360">
      <c r="B360" s="3">
        <f t="shared" si="1"/>
        <v>0.064</v>
      </c>
      <c r="C360" s="3">
        <f t="shared" si="2"/>
        <v>12</v>
      </c>
      <c r="D360" s="11">
        <f t="shared" si="3"/>
        <v>29.83333333</v>
      </c>
      <c r="E360" s="3">
        <f t="shared" si="7"/>
        <v>1000</v>
      </c>
      <c r="F360" s="2">
        <f t="shared" si="4"/>
        <v>20.44039722</v>
      </c>
      <c r="G360" s="2">
        <f t="shared" si="5"/>
        <v>979.5596028</v>
      </c>
      <c r="H360" s="2">
        <f t="shared" si="6"/>
        <v>2853.014875</v>
      </c>
    </row>
    <row r="361">
      <c r="B361" s="3">
        <f t="shared" si="1"/>
        <v>0.064</v>
      </c>
      <c r="C361" s="3">
        <f t="shared" si="2"/>
        <v>12</v>
      </c>
      <c r="D361" s="11">
        <f t="shared" si="3"/>
        <v>29.91666667</v>
      </c>
      <c r="E361" s="3">
        <f t="shared" si="7"/>
        <v>1000</v>
      </c>
      <c r="F361" s="2">
        <f t="shared" si="4"/>
        <v>15.21607933</v>
      </c>
      <c r="G361" s="2">
        <f t="shared" si="5"/>
        <v>984.7839207</v>
      </c>
      <c r="H361" s="2">
        <f t="shared" si="6"/>
        <v>1868.230954</v>
      </c>
    </row>
    <row r="362">
      <c r="A362" s="18"/>
      <c r="B362" s="18">
        <f t="shared" si="1"/>
        <v>0.064</v>
      </c>
      <c r="C362" s="18">
        <f t="shared" si="2"/>
        <v>12</v>
      </c>
      <c r="D362" s="19">
        <f t="shared" si="3"/>
        <v>30</v>
      </c>
      <c r="E362" s="10">
        <f t="shared" si="7"/>
        <v>1000</v>
      </c>
      <c r="F362" s="20">
        <f t="shared" si="4"/>
        <v>9.963898424</v>
      </c>
      <c r="G362" s="20">
        <f t="shared" si="5"/>
        <v>990.0361016</v>
      </c>
      <c r="H362" s="21">
        <f t="shared" si="6"/>
        <v>878.1948528</v>
      </c>
    </row>
    <row r="363">
      <c r="A363" s="18"/>
      <c r="B363" s="18">
        <f t="shared" si="1"/>
        <v>0.064</v>
      </c>
      <c r="C363" s="18">
        <f t="shared" si="2"/>
        <v>12</v>
      </c>
      <c r="D363" s="19">
        <f t="shared" si="3"/>
        <v>30.08333333</v>
      </c>
      <c r="E363" s="10">
        <f t="shared" si="7"/>
        <v>1000</v>
      </c>
      <c r="F363" s="20">
        <f t="shared" si="4"/>
        <v>4.683705882</v>
      </c>
      <c r="G363" s="20">
        <f t="shared" si="5"/>
        <v>995.3162941</v>
      </c>
      <c r="H363" s="21">
        <f t="shared" si="6"/>
        <v>-117.1214413</v>
      </c>
    </row>
    <row r="364">
      <c r="B364" s="3">
        <f t="shared" si="1"/>
        <v>0.064</v>
      </c>
      <c r="C364" s="3">
        <f t="shared" si="2"/>
        <v>12</v>
      </c>
      <c r="D364" s="11">
        <f t="shared" si="3"/>
        <v>30.16666667</v>
      </c>
      <c r="E364" s="3">
        <f t="shared" si="7"/>
        <v>1000</v>
      </c>
      <c r="F364" s="2">
        <f t="shared" si="4"/>
        <v>-0.6246476868</v>
      </c>
      <c r="G364" s="2">
        <f t="shared" si="5"/>
        <v>1000.624648</v>
      </c>
      <c r="H364" s="2">
        <f t="shared" si="6"/>
        <v>-1117.746089</v>
      </c>
    </row>
    <row r="365">
      <c r="B365" s="3">
        <f t="shared" si="1"/>
        <v>0.064</v>
      </c>
      <c r="C365" s="3">
        <f t="shared" si="2"/>
        <v>12</v>
      </c>
      <c r="D365" s="11">
        <f t="shared" si="3"/>
        <v>30.25</v>
      </c>
      <c r="E365" s="3">
        <f t="shared" si="7"/>
        <v>1000</v>
      </c>
      <c r="F365" s="2">
        <f t="shared" si="4"/>
        <v>-5.961312474</v>
      </c>
      <c r="G365" s="2">
        <f t="shared" si="5"/>
        <v>1005.961312</v>
      </c>
      <c r="H365" s="2">
        <f t="shared" si="6"/>
        <v>-2123.707401</v>
      </c>
    </row>
    <row r="366">
      <c r="B366" s="3">
        <f t="shared" si="1"/>
        <v>0.064</v>
      </c>
      <c r="C366" s="3">
        <f t="shared" si="2"/>
        <v>12</v>
      </c>
      <c r="D366" s="11">
        <f t="shared" si="3"/>
        <v>30.33333333</v>
      </c>
      <c r="E366" s="3">
        <f t="shared" si="7"/>
        <v>1000</v>
      </c>
      <c r="F366" s="2">
        <f t="shared" si="4"/>
        <v>-11.32643947</v>
      </c>
      <c r="G366" s="2">
        <f t="shared" si="5"/>
        <v>1011.326439</v>
      </c>
      <c r="H366" s="2">
        <f t="shared" si="6"/>
        <v>-3135.033841</v>
      </c>
    </row>
    <row r="367">
      <c r="B367" s="3">
        <f t="shared" si="1"/>
        <v>0.064</v>
      </c>
      <c r="C367" s="3">
        <f t="shared" si="2"/>
        <v>12</v>
      </c>
      <c r="D367" s="11">
        <f t="shared" si="3"/>
        <v>30.41666667</v>
      </c>
      <c r="E367" s="3">
        <f t="shared" si="7"/>
        <v>1000</v>
      </c>
      <c r="F367" s="2">
        <f t="shared" si="4"/>
        <v>-16.72018048</v>
      </c>
      <c r="G367" s="2">
        <f t="shared" si="5"/>
        <v>1016.72018</v>
      </c>
      <c r="H367" s="2">
        <f t="shared" si="6"/>
        <v>-4151.754021</v>
      </c>
    </row>
    <row r="368">
      <c r="B368" s="3">
        <f t="shared" si="1"/>
        <v>0.064</v>
      </c>
      <c r="C368" s="3">
        <f t="shared" si="2"/>
        <v>12</v>
      </c>
      <c r="D368" s="11">
        <f t="shared" si="3"/>
        <v>30.5</v>
      </c>
      <c r="E368" s="3">
        <f t="shared" si="7"/>
        <v>1000</v>
      </c>
      <c r="F368" s="2">
        <f t="shared" si="4"/>
        <v>-22.14268811</v>
      </c>
      <c r="G368" s="2">
        <f t="shared" si="5"/>
        <v>1022.142688</v>
      </c>
      <c r="H368" s="2">
        <f t="shared" si="6"/>
        <v>-5173.89671</v>
      </c>
    </row>
    <row r="369">
      <c r="B369" s="3">
        <f t="shared" si="1"/>
        <v>0.064</v>
      </c>
      <c r="C369" s="3">
        <f t="shared" si="2"/>
        <v>12</v>
      </c>
      <c r="D369" s="11">
        <f t="shared" si="3"/>
        <v>30.58333333</v>
      </c>
      <c r="E369" s="3">
        <f t="shared" si="7"/>
        <v>1000</v>
      </c>
      <c r="F369" s="2">
        <f t="shared" si="4"/>
        <v>-27.59411578</v>
      </c>
      <c r="G369" s="2">
        <f t="shared" si="5"/>
        <v>1027.594116</v>
      </c>
      <c r="H369" s="2">
        <f t="shared" si="6"/>
        <v>-6201.490825</v>
      </c>
    </row>
    <row r="370">
      <c r="B370" s="3">
        <f t="shared" si="1"/>
        <v>0.064</v>
      </c>
      <c r="C370" s="3">
        <f t="shared" si="2"/>
        <v>12</v>
      </c>
      <c r="D370" s="11">
        <f t="shared" si="3"/>
        <v>30.66666667</v>
      </c>
      <c r="E370" s="3">
        <f t="shared" si="7"/>
        <v>1000</v>
      </c>
      <c r="F370" s="2">
        <f t="shared" si="4"/>
        <v>-33.07461773</v>
      </c>
      <c r="G370" s="2">
        <f t="shared" si="5"/>
        <v>1033.074618</v>
      </c>
      <c r="H370" s="2">
        <f t="shared" si="6"/>
        <v>-7234.565443</v>
      </c>
    </row>
    <row r="371">
      <c r="B371" s="3">
        <f t="shared" si="1"/>
        <v>0.064</v>
      </c>
      <c r="C371" s="3">
        <f t="shared" si="2"/>
        <v>12</v>
      </c>
      <c r="D371" s="11">
        <f t="shared" si="3"/>
        <v>30.75</v>
      </c>
      <c r="E371" s="3">
        <f t="shared" si="7"/>
        <v>1000</v>
      </c>
      <c r="F371" s="2">
        <f t="shared" si="4"/>
        <v>-38.58434903</v>
      </c>
      <c r="G371" s="2">
        <f t="shared" si="5"/>
        <v>1038.584349</v>
      </c>
      <c r="H371" s="2">
        <f t="shared" si="6"/>
        <v>-8273.149792</v>
      </c>
    </row>
    <row r="372">
      <c r="B372" s="3">
        <f t="shared" si="1"/>
        <v>0.064</v>
      </c>
      <c r="C372" s="3">
        <f t="shared" si="2"/>
        <v>12</v>
      </c>
      <c r="D372" s="11">
        <f t="shared" si="3"/>
        <v>30.83333333</v>
      </c>
      <c r="E372" s="3">
        <f t="shared" si="7"/>
        <v>1000</v>
      </c>
      <c r="F372" s="2">
        <f t="shared" si="4"/>
        <v>-44.12346556</v>
      </c>
      <c r="G372" s="2">
        <f t="shared" si="5"/>
        <v>1044.123466</v>
      </c>
      <c r="H372" s="2">
        <f t="shared" si="6"/>
        <v>-9317.273258</v>
      </c>
    </row>
    <row r="373">
      <c r="B373" s="3">
        <f t="shared" si="1"/>
        <v>0.064</v>
      </c>
      <c r="C373" s="3">
        <f t="shared" si="2"/>
        <v>12</v>
      </c>
      <c r="D373" s="11">
        <f t="shared" si="3"/>
        <v>30.91666667</v>
      </c>
      <c r="E373" s="3">
        <f t="shared" si="7"/>
        <v>1000</v>
      </c>
      <c r="F373" s="2">
        <f t="shared" si="4"/>
        <v>-49.69212404</v>
      </c>
      <c r="G373" s="2">
        <f t="shared" si="5"/>
        <v>1049.692124</v>
      </c>
      <c r="H373" s="2">
        <f t="shared" si="6"/>
        <v>-10366.96538</v>
      </c>
    </row>
    <row r="374">
      <c r="B374" s="3">
        <f t="shared" si="1"/>
        <v>0.064</v>
      </c>
      <c r="C374" s="3">
        <f t="shared" si="2"/>
        <v>12</v>
      </c>
      <c r="D374" s="11">
        <f t="shared" si="3"/>
        <v>31</v>
      </c>
      <c r="E374" s="3">
        <f t="shared" si="7"/>
        <v>1000</v>
      </c>
      <c r="F374" s="2">
        <f t="shared" si="4"/>
        <v>-55.29048204</v>
      </c>
      <c r="G374" s="2">
        <f t="shared" si="5"/>
        <v>1055.290482</v>
      </c>
      <c r="H374" s="2">
        <f t="shared" si="6"/>
        <v>-11422.25586</v>
      </c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6" max="6" width="20.75"/>
  </cols>
  <sheetData>
    <row r="1">
      <c r="A1" s="4" t="s">
        <v>14</v>
      </c>
      <c r="B1" s="1" t="s">
        <v>2</v>
      </c>
      <c r="C1" s="1" t="s">
        <v>3</v>
      </c>
      <c r="D1" s="22" t="s">
        <v>15</v>
      </c>
      <c r="E1" s="1" t="s">
        <v>25</v>
      </c>
      <c r="F1" s="1" t="s">
        <v>26</v>
      </c>
      <c r="H1" s="12" t="s">
        <v>18</v>
      </c>
      <c r="I1" s="13">
        <f>160000</f>
        <v>160000</v>
      </c>
    </row>
    <row r="2">
      <c r="A2" s="10">
        <f>200000</f>
        <v>200000</v>
      </c>
      <c r="B2" s="3">
        <f t="shared" ref="B2:B117" si="1">0.064</f>
        <v>0.064</v>
      </c>
      <c r="C2" s="3">
        <f t="shared" ref="C2:C117" si="2">12</f>
        <v>12</v>
      </c>
      <c r="D2" s="11">
        <f>0</f>
        <v>0</v>
      </c>
      <c r="E2" s="3">
        <f>A2*0.2</f>
        <v>40000</v>
      </c>
      <c r="F2" s="2">
        <f>A2-E2</f>
        <v>160000</v>
      </c>
      <c r="H2" s="12" t="s">
        <v>19</v>
      </c>
      <c r="I2" s="12">
        <v>8.75</v>
      </c>
    </row>
    <row r="3">
      <c r="A3" s="10"/>
      <c r="B3" s="3">
        <f t="shared" si="1"/>
        <v>0.064</v>
      </c>
      <c r="C3" s="3">
        <f t="shared" si="2"/>
        <v>12</v>
      </c>
      <c r="D3" s="11">
        <f t="shared" ref="D3:D117" si="3">D2+1/C3</f>
        <v>0.08333333333</v>
      </c>
      <c r="E3" s="3">
        <f t="shared" ref="E3:E117" si="4">2000</f>
        <v>2000</v>
      </c>
      <c r="F3" s="2">
        <f t="shared" ref="F3:F117" si="5">F2+F2*(B3/C3)-E3</f>
        <v>158853.3333</v>
      </c>
      <c r="H3" s="12" t="s">
        <v>27</v>
      </c>
      <c r="I3" s="13">
        <f>8.73*2000*12</f>
        <v>209520</v>
      </c>
    </row>
    <row r="4">
      <c r="A4" s="14" t="s">
        <v>22</v>
      </c>
      <c r="B4" s="3">
        <f t="shared" si="1"/>
        <v>0.064</v>
      </c>
      <c r="C4" s="3">
        <f t="shared" si="2"/>
        <v>12</v>
      </c>
      <c r="D4" s="11">
        <f t="shared" si="3"/>
        <v>0.1666666667</v>
      </c>
      <c r="E4" s="3">
        <f t="shared" si="4"/>
        <v>2000</v>
      </c>
      <c r="F4" s="2">
        <f t="shared" si="5"/>
        <v>157700.5511</v>
      </c>
      <c r="H4" s="12" t="s">
        <v>23</v>
      </c>
      <c r="I4" s="13">
        <f>I3-I1</f>
        <v>49520</v>
      </c>
    </row>
    <row r="5">
      <c r="A5" s="15">
        <v>0.2</v>
      </c>
      <c r="B5" s="3">
        <f t="shared" si="1"/>
        <v>0.064</v>
      </c>
      <c r="C5" s="3">
        <f t="shared" si="2"/>
        <v>12</v>
      </c>
      <c r="D5" s="11">
        <f t="shared" si="3"/>
        <v>0.25</v>
      </c>
      <c r="E5" s="3">
        <f t="shared" si="4"/>
        <v>2000</v>
      </c>
      <c r="F5" s="2">
        <f t="shared" si="5"/>
        <v>156541.6207</v>
      </c>
    </row>
    <row r="6">
      <c r="B6" s="3">
        <f t="shared" si="1"/>
        <v>0.064</v>
      </c>
      <c r="C6" s="3">
        <f t="shared" si="2"/>
        <v>12</v>
      </c>
      <c r="D6" s="11">
        <f t="shared" si="3"/>
        <v>0.3333333333</v>
      </c>
      <c r="E6" s="3">
        <f t="shared" si="4"/>
        <v>2000</v>
      </c>
      <c r="F6" s="2">
        <f t="shared" si="5"/>
        <v>155376.5094</v>
      </c>
    </row>
    <row r="7">
      <c r="B7" s="3">
        <f t="shared" si="1"/>
        <v>0.064</v>
      </c>
      <c r="C7" s="3">
        <f t="shared" si="2"/>
        <v>12</v>
      </c>
      <c r="D7" s="11">
        <f t="shared" si="3"/>
        <v>0.4166666667</v>
      </c>
      <c r="E7" s="3">
        <f t="shared" si="4"/>
        <v>2000</v>
      </c>
      <c r="F7" s="2">
        <f t="shared" si="5"/>
        <v>154205.1841</v>
      </c>
    </row>
    <row r="8">
      <c r="B8" s="3">
        <f t="shared" si="1"/>
        <v>0.064</v>
      </c>
      <c r="C8" s="3">
        <f t="shared" si="2"/>
        <v>12</v>
      </c>
      <c r="D8" s="11">
        <f t="shared" si="3"/>
        <v>0.5</v>
      </c>
      <c r="E8" s="3">
        <f t="shared" si="4"/>
        <v>2000</v>
      </c>
      <c r="F8" s="2">
        <f t="shared" si="5"/>
        <v>153027.6117</v>
      </c>
    </row>
    <row r="9">
      <c r="B9" s="3">
        <f t="shared" si="1"/>
        <v>0.064</v>
      </c>
      <c r="C9" s="3">
        <f t="shared" si="2"/>
        <v>12</v>
      </c>
      <c r="D9" s="11">
        <f t="shared" si="3"/>
        <v>0.5833333333</v>
      </c>
      <c r="E9" s="3">
        <f t="shared" si="4"/>
        <v>2000</v>
      </c>
      <c r="F9" s="2">
        <f t="shared" si="5"/>
        <v>151843.759</v>
      </c>
    </row>
    <row r="10">
      <c r="B10" s="3">
        <f t="shared" si="1"/>
        <v>0.064</v>
      </c>
      <c r="C10" s="3">
        <f t="shared" si="2"/>
        <v>12</v>
      </c>
      <c r="D10" s="11">
        <f t="shared" si="3"/>
        <v>0.6666666667</v>
      </c>
      <c r="E10" s="3">
        <f t="shared" si="4"/>
        <v>2000</v>
      </c>
      <c r="F10" s="2">
        <f t="shared" si="5"/>
        <v>150653.5924</v>
      </c>
    </row>
    <row r="11">
      <c r="B11" s="3">
        <f t="shared" si="1"/>
        <v>0.064</v>
      </c>
      <c r="C11" s="3">
        <f t="shared" si="2"/>
        <v>12</v>
      </c>
      <c r="D11" s="11">
        <f t="shared" si="3"/>
        <v>0.75</v>
      </c>
      <c r="E11" s="3">
        <f t="shared" si="4"/>
        <v>2000</v>
      </c>
      <c r="F11" s="2">
        <f t="shared" si="5"/>
        <v>149457.0782</v>
      </c>
    </row>
    <row r="12">
      <c r="B12" s="3">
        <f t="shared" si="1"/>
        <v>0.064</v>
      </c>
      <c r="C12" s="3">
        <f t="shared" si="2"/>
        <v>12</v>
      </c>
      <c r="D12" s="11">
        <f t="shared" si="3"/>
        <v>0.8333333333</v>
      </c>
      <c r="E12" s="3">
        <f t="shared" si="4"/>
        <v>2000</v>
      </c>
      <c r="F12" s="2">
        <f t="shared" si="5"/>
        <v>148254.1826</v>
      </c>
    </row>
    <row r="13">
      <c r="B13" s="3">
        <f t="shared" si="1"/>
        <v>0.064</v>
      </c>
      <c r="C13" s="3">
        <f t="shared" si="2"/>
        <v>12</v>
      </c>
      <c r="D13" s="11">
        <f t="shared" si="3"/>
        <v>0.9166666667</v>
      </c>
      <c r="E13" s="3">
        <f t="shared" si="4"/>
        <v>2000</v>
      </c>
      <c r="F13" s="2">
        <f t="shared" si="5"/>
        <v>147044.8716</v>
      </c>
    </row>
    <row r="14">
      <c r="B14" s="3">
        <f t="shared" si="1"/>
        <v>0.064</v>
      </c>
      <c r="C14" s="3">
        <f t="shared" si="2"/>
        <v>12</v>
      </c>
      <c r="D14" s="11">
        <f t="shared" si="3"/>
        <v>1</v>
      </c>
      <c r="E14" s="3">
        <f t="shared" si="4"/>
        <v>2000</v>
      </c>
      <c r="F14" s="2">
        <f t="shared" si="5"/>
        <v>145829.1109</v>
      </c>
    </row>
    <row r="15">
      <c r="B15" s="3">
        <f t="shared" si="1"/>
        <v>0.064</v>
      </c>
      <c r="C15" s="3">
        <f t="shared" si="2"/>
        <v>12</v>
      </c>
      <c r="D15" s="11">
        <f t="shared" si="3"/>
        <v>1.083333333</v>
      </c>
      <c r="E15" s="3">
        <f t="shared" si="4"/>
        <v>2000</v>
      </c>
      <c r="F15" s="2">
        <f t="shared" si="5"/>
        <v>144606.8662</v>
      </c>
    </row>
    <row r="16">
      <c r="B16" s="3">
        <f t="shared" si="1"/>
        <v>0.064</v>
      </c>
      <c r="C16" s="3">
        <f t="shared" si="2"/>
        <v>12</v>
      </c>
      <c r="D16" s="11">
        <f t="shared" si="3"/>
        <v>1.166666667</v>
      </c>
      <c r="E16" s="3">
        <f t="shared" si="4"/>
        <v>2000</v>
      </c>
      <c r="F16" s="2">
        <f t="shared" si="5"/>
        <v>143378.1028</v>
      </c>
    </row>
    <row r="17">
      <c r="B17" s="3">
        <f t="shared" si="1"/>
        <v>0.064</v>
      </c>
      <c r="C17" s="3">
        <f t="shared" si="2"/>
        <v>12</v>
      </c>
      <c r="D17" s="11">
        <f t="shared" si="3"/>
        <v>1.25</v>
      </c>
      <c r="E17" s="3">
        <f t="shared" si="4"/>
        <v>2000</v>
      </c>
      <c r="F17" s="2">
        <f t="shared" si="5"/>
        <v>142142.786</v>
      </c>
    </row>
    <row r="18">
      <c r="B18" s="3">
        <f t="shared" si="1"/>
        <v>0.064</v>
      </c>
      <c r="C18" s="3">
        <f t="shared" si="2"/>
        <v>12</v>
      </c>
      <c r="D18" s="11">
        <f t="shared" si="3"/>
        <v>1.333333333</v>
      </c>
      <c r="E18" s="3">
        <f t="shared" si="4"/>
        <v>2000</v>
      </c>
      <c r="F18" s="2">
        <f t="shared" si="5"/>
        <v>140900.8809</v>
      </c>
    </row>
    <row r="19">
      <c r="B19" s="3">
        <f t="shared" si="1"/>
        <v>0.064</v>
      </c>
      <c r="C19" s="3">
        <f t="shared" si="2"/>
        <v>12</v>
      </c>
      <c r="D19" s="11">
        <f t="shared" si="3"/>
        <v>1.416666667</v>
      </c>
      <c r="E19" s="3">
        <f t="shared" si="4"/>
        <v>2000</v>
      </c>
      <c r="F19" s="2">
        <f t="shared" si="5"/>
        <v>139652.3522</v>
      </c>
    </row>
    <row r="20">
      <c r="B20" s="3">
        <f t="shared" si="1"/>
        <v>0.064</v>
      </c>
      <c r="C20" s="3">
        <f t="shared" si="2"/>
        <v>12</v>
      </c>
      <c r="D20" s="11">
        <f t="shared" si="3"/>
        <v>1.5</v>
      </c>
      <c r="E20" s="3">
        <f t="shared" si="4"/>
        <v>2000</v>
      </c>
      <c r="F20" s="2">
        <f t="shared" si="5"/>
        <v>138397.1648</v>
      </c>
    </row>
    <row r="21">
      <c r="B21" s="3">
        <f t="shared" si="1"/>
        <v>0.064</v>
      </c>
      <c r="C21" s="3">
        <f t="shared" si="2"/>
        <v>12</v>
      </c>
      <c r="D21" s="11">
        <f t="shared" si="3"/>
        <v>1.583333333</v>
      </c>
      <c r="E21" s="3">
        <f t="shared" si="4"/>
        <v>2000</v>
      </c>
      <c r="F21" s="2">
        <f t="shared" si="5"/>
        <v>137135.283</v>
      </c>
    </row>
    <row r="22">
      <c r="B22" s="3">
        <f t="shared" si="1"/>
        <v>0.064</v>
      </c>
      <c r="C22" s="3">
        <f t="shared" si="2"/>
        <v>12</v>
      </c>
      <c r="D22" s="11">
        <f t="shared" si="3"/>
        <v>1.666666667</v>
      </c>
      <c r="E22" s="3">
        <f t="shared" si="4"/>
        <v>2000</v>
      </c>
      <c r="F22" s="2">
        <f t="shared" si="5"/>
        <v>135866.6712</v>
      </c>
    </row>
    <row r="23">
      <c r="B23" s="3">
        <f t="shared" si="1"/>
        <v>0.064</v>
      </c>
      <c r="C23" s="3">
        <f t="shared" si="2"/>
        <v>12</v>
      </c>
      <c r="D23" s="11">
        <f t="shared" si="3"/>
        <v>1.75</v>
      </c>
      <c r="E23" s="3">
        <f t="shared" si="4"/>
        <v>2000</v>
      </c>
      <c r="F23" s="2">
        <f t="shared" si="5"/>
        <v>134591.2934</v>
      </c>
    </row>
    <row r="24">
      <c r="B24" s="3">
        <f t="shared" si="1"/>
        <v>0.064</v>
      </c>
      <c r="C24" s="3">
        <f t="shared" si="2"/>
        <v>12</v>
      </c>
      <c r="D24" s="11">
        <f t="shared" si="3"/>
        <v>1.833333333</v>
      </c>
      <c r="E24" s="3">
        <f t="shared" si="4"/>
        <v>2000</v>
      </c>
      <c r="F24" s="2">
        <f t="shared" si="5"/>
        <v>133309.1136</v>
      </c>
    </row>
    <row r="25">
      <c r="B25" s="3">
        <f t="shared" si="1"/>
        <v>0.064</v>
      </c>
      <c r="C25" s="3">
        <f t="shared" si="2"/>
        <v>12</v>
      </c>
      <c r="D25" s="11">
        <f t="shared" si="3"/>
        <v>1.916666667</v>
      </c>
      <c r="E25" s="3">
        <f t="shared" si="4"/>
        <v>2000</v>
      </c>
      <c r="F25" s="2">
        <f t="shared" si="5"/>
        <v>132020.0956</v>
      </c>
    </row>
    <row r="26">
      <c r="B26" s="3">
        <f t="shared" si="1"/>
        <v>0.064</v>
      </c>
      <c r="C26" s="3">
        <f t="shared" si="2"/>
        <v>12</v>
      </c>
      <c r="D26" s="11">
        <f t="shared" si="3"/>
        <v>2</v>
      </c>
      <c r="E26" s="3">
        <f t="shared" si="4"/>
        <v>2000</v>
      </c>
      <c r="F26" s="2">
        <f t="shared" si="5"/>
        <v>130724.2027</v>
      </c>
    </row>
    <row r="27">
      <c r="B27" s="3">
        <f t="shared" si="1"/>
        <v>0.064</v>
      </c>
      <c r="C27" s="3">
        <f t="shared" si="2"/>
        <v>12</v>
      </c>
      <c r="D27" s="11">
        <f t="shared" si="3"/>
        <v>2.083333333</v>
      </c>
      <c r="E27" s="3">
        <f t="shared" si="4"/>
        <v>2000</v>
      </c>
      <c r="F27" s="2">
        <f t="shared" si="5"/>
        <v>129421.3985</v>
      </c>
    </row>
    <row r="28">
      <c r="B28" s="3">
        <f t="shared" si="1"/>
        <v>0.064</v>
      </c>
      <c r="C28" s="3">
        <f t="shared" si="2"/>
        <v>12</v>
      </c>
      <c r="D28" s="11">
        <f t="shared" si="3"/>
        <v>2.166666667</v>
      </c>
      <c r="E28" s="3">
        <f t="shared" si="4"/>
        <v>2000</v>
      </c>
      <c r="F28" s="2">
        <f t="shared" si="5"/>
        <v>128111.646</v>
      </c>
    </row>
    <row r="29">
      <c r="B29" s="3">
        <f t="shared" si="1"/>
        <v>0.064</v>
      </c>
      <c r="C29" s="3">
        <f t="shared" si="2"/>
        <v>12</v>
      </c>
      <c r="D29" s="11">
        <f t="shared" si="3"/>
        <v>2.25</v>
      </c>
      <c r="E29" s="3">
        <f t="shared" si="4"/>
        <v>2000</v>
      </c>
      <c r="F29" s="2">
        <f t="shared" si="5"/>
        <v>126794.9081</v>
      </c>
    </row>
    <row r="30">
      <c r="B30" s="3">
        <f t="shared" si="1"/>
        <v>0.064</v>
      </c>
      <c r="C30" s="3">
        <f t="shared" si="2"/>
        <v>12</v>
      </c>
      <c r="D30" s="11">
        <f t="shared" si="3"/>
        <v>2.333333333</v>
      </c>
      <c r="E30" s="3">
        <f t="shared" si="4"/>
        <v>2000</v>
      </c>
      <c r="F30" s="2">
        <f t="shared" si="5"/>
        <v>125471.1476</v>
      </c>
    </row>
    <row r="31">
      <c r="B31" s="3">
        <f t="shared" si="1"/>
        <v>0.064</v>
      </c>
      <c r="C31" s="3">
        <f t="shared" si="2"/>
        <v>12</v>
      </c>
      <c r="D31" s="11">
        <f t="shared" si="3"/>
        <v>2.416666667</v>
      </c>
      <c r="E31" s="3">
        <f t="shared" si="4"/>
        <v>2000</v>
      </c>
      <c r="F31" s="2">
        <f t="shared" si="5"/>
        <v>124140.327</v>
      </c>
    </row>
    <row r="32">
      <c r="B32" s="3">
        <f t="shared" si="1"/>
        <v>0.064</v>
      </c>
      <c r="C32" s="3">
        <f t="shared" si="2"/>
        <v>12</v>
      </c>
      <c r="D32" s="11">
        <f t="shared" si="3"/>
        <v>2.5</v>
      </c>
      <c r="E32" s="3">
        <f t="shared" si="4"/>
        <v>2000</v>
      </c>
      <c r="F32" s="2">
        <f t="shared" si="5"/>
        <v>122802.4088</v>
      </c>
    </row>
    <row r="33">
      <c r="B33" s="3">
        <f t="shared" si="1"/>
        <v>0.064</v>
      </c>
      <c r="C33" s="3">
        <f t="shared" si="2"/>
        <v>12</v>
      </c>
      <c r="D33" s="11">
        <f t="shared" si="3"/>
        <v>2.583333333</v>
      </c>
      <c r="E33" s="3">
        <f t="shared" si="4"/>
        <v>2000</v>
      </c>
      <c r="F33" s="2">
        <f t="shared" si="5"/>
        <v>121457.3549</v>
      </c>
    </row>
    <row r="34">
      <c r="B34" s="3">
        <f t="shared" si="1"/>
        <v>0.064</v>
      </c>
      <c r="C34" s="3">
        <f t="shared" si="2"/>
        <v>12</v>
      </c>
      <c r="D34" s="11">
        <f t="shared" si="3"/>
        <v>2.666666667</v>
      </c>
      <c r="E34" s="3">
        <f t="shared" si="4"/>
        <v>2000</v>
      </c>
      <c r="F34" s="2">
        <f t="shared" si="5"/>
        <v>120105.1275</v>
      </c>
    </row>
    <row r="35">
      <c r="B35" s="3">
        <f t="shared" si="1"/>
        <v>0.064</v>
      </c>
      <c r="C35" s="3">
        <f t="shared" si="2"/>
        <v>12</v>
      </c>
      <c r="D35" s="11">
        <f t="shared" si="3"/>
        <v>2.75</v>
      </c>
      <c r="E35" s="3">
        <f t="shared" si="4"/>
        <v>2000</v>
      </c>
      <c r="F35" s="2">
        <f t="shared" si="5"/>
        <v>118745.6882</v>
      </c>
    </row>
    <row r="36">
      <c r="B36" s="3">
        <f t="shared" si="1"/>
        <v>0.064</v>
      </c>
      <c r="C36" s="3">
        <f t="shared" si="2"/>
        <v>12</v>
      </c>
      <c r="D36" s="11">
        <f t="shared" si="3"/>
        <v>2.833333333</v>
      </c>
      <c r="E36" s="3">
        <f t="shared" si="4"/>
        <v>2000</v>
      </c>
      <c r="F36" s="2">
        <f t="shared" si="5"/>
        <v>117378.9985</v>
      </c>
    </row>
    <row r="37">
      <c r="B37" s="3">
        <f t="shared" si="1"/>
        <v>0.064</v>
      </c>
      <c r="C37" s="3">
        <f t="shared" si="2"/>
        <v>12</v>
      </c>
      <c r="D37" s="11">
        <f t="shared" si="3"/>
        <v>2.916666667</v>
      </c>
      <c r="E37" s="3">
        <f t="shared" si="4"/>
        <v>2000</v>
      </c>
      <c r="F37" s="2">
        <f t="shared" si="5"/>
        <v>116005.0199</v>
      </c>
    </row>
    <row r="38">
      <c r="B38" s="3">
        <f t="shared" si="1"/>
        <v>0.064</v>
      </c>
      <c r="C38" s="3">
        <f t="shared" si="2"/>
        <v>12</v>
      </c>
      <c r="D38" s="11">
        <f t="shared" si="3"/>
        <v>3</v>
      </c>
      <c r="E38" s="3">
        <f t="shared" si="4"/>
        <v>2000</v>
      </c>
      <c r="F38" s="2">
        <f t="shared" si="5"/>
        <v>114623.7133</v>
      </c>
    </row>
    <row r="39">
      <c r="B39" s="3">
        <f t="shared" si="1"/>
        <v>0.064</v>
      </c>
      <c r="C39" s="3">
        <f t="shared" si="2"/>
        <v>12</v>
      </c>
      <c r="D39" s="11">
        <f t="shared" si="3"/>
        <v>3.083333333</v>
      </c>
      <c r="E39" s="3">
        <f t="shared" si="4"/>
        <v>2000</v>
      </c>
      <c r="F39" s="2">
        <f t="shared" si="5"/>
        <v>113235.0398</v>
      </c>
    </row>
    <row r="40">
      <c r="B40" s="3">
        <f t="shared" si="1"/>
        <v>0.064</v>
      </c>
      <c r="C40" s="3">
        <f t="shared" si="2"/>
        <v>12</v>
      </c>
      <c r="D40" s="11">
        <f t="shared" si="3"/>
        <v>3.166666667</v>
      </c>
      <c r="E40" s="3">
        <f t="shared" si="4"/>
        <v>2000</v>
      </c>
      <c r="F40" s="2">
        <f t="shared" si="5"/>
        <v>111838.96</v>
      </c>
    </row>
    <row r="41">
      <c r="B41" s="3">
        <f t="shared" si="1"/>
        <v>0.064</v>
      </c>
      <c r="C41" s="3">
        <f t="shared" si="2"/>
        <v>12</v>
      </c>
      <c r="D41" s="11">
        <f t="shared" si="3"/>
        <v>3.25</v>
      </c>
      <c r="E41" s="3">
        <f t="shared" si="4"/>
        <v>2000</v>
      </c>
      <c r="F41" s="2">
        <f t="shared" si="5"/>
        <v>110435.4344</v>
      </c>
    </row>
    <row r="42">
      <c r="B42" s="3">
        <f t="shared" si="1"/>
        <v>0.064</v>
      </c>
      <c r="C42" s="3">
        <f t="shared" si="2"/>
        <v>12</v>
      </c>
      <c r="D42" s="11">
        <f t="shared" si="3"/>
        <v>3.333333333</v>
      </c>
      <c r="E42" s="3">
        <f t="shared" si="4"/>
        <v>2000</v>
      </c>
      <c r="F42" s="2">
        <f t="shared" si="5"/>
        <v>109024.4234</v>
      </c>
    </row>
    <row r="43">
      <c r="B43" s="3">
        <f t="shared" si="1"/>
        <v>0.064</v>
      </c>
      <c r="C43" s="3">
        <f t="shared" si="2"/>
        <v>12</v>
      </c>
      <c r="D43" s="11">
        <f t="shared" si="3"/>
        <v>3.416666667</v>
      </c>
      <c r="E43" s="3">
        <f t="shared" si="4"/>
        <v>2000</v>
      </c>
      <c r="F43" s="2">
        <f t="shared" si="5"/>
        <v>107605.887</v>
      </c>
    </row>
    <row r="44">
      <c r="B44" s="3">
        <f t="shared" si="1"/>
        <v>0.064</v>
      </c>
      <c r="C44" s="3">
        <f t="shared" si="2"/>
        <v>12</v>
      </c>
      <c r="D44" s="11">
        <f t="shared" si="3"/>
        <v>3.5</v>
      </c>
      <c r="E44" s="3">
        <f t="shared" si="4"/>
        <v>2000</v>
      </c>
      <c r="F44" s="2">
        <f t="shared" si="5"/>
        <v>106179.7851</v>
      </c>
    </row>
    <row r="45">
      <c r="B45" s="3">
        <f t="shared" si="1"/>
        <v>0.064</v>
      </c>
      <c r="C45" s="3">
        <f t="shared" si="2"/>
        <v>12</v>
      </c>
      <c r="D45" s="11">
        <f t="shared" si="3"/>
        <v>3.583333333</v>
      </c>
      <c r="E45" s="3">
        <f t="shared" si="4"/>
        <v>2000</v>
      </c>
      <c r="F45" s="2">
        <f t="shared" si="5"/>
        <v>104746.0773</v>
      </c>
    </row>
    <row r="46">
      <c r="B46" s="3">
        <f t="shared" si="1"/>
        <v>0.064</v>
      </c>
      <c r="C46" s="3">
        <f t="shared" si="2"/>
        <v>12</v>
      </c>
      <c r="D46" s="11">
        <f t="shared" si="3"/>
        <v>3.666666667</v>
      </c>
      <c r="E46" s="3">
        <f t="shared" si="4"/>
        <v>2000</v>
      </c>
      <c r="F46" s="2">
        <f t="shared" si="5"/>
        <v>103304.723</v>
      </c>
    </row>
    <row r="47">
      <c r="B47" s="3">
        <f t="shared" si="1"/>
        <v>0.064</v>
      </c>
      <c r="C47" s="3">
        <f t="shared" si="2"/>
        <v>12</v>
      </c>
      <c r="D47" s="11">
        <f t="shared" si="3"/>
        <v>3.75</v>
      </c>
      <c r="E47" s="3">
        <f t="shared" si="4"/>
        <v>2000</v>
      </c>
      <c r="F47" s="2">
        <f t="shared" si="5"/>
        <v>101855.6815</v>
      </c>
    </row>
    <row r="48">
      <c r="B48" s="3">
        <f t="shared" si="1"/>
        <v>0.064</v>
      </c>
      <c r="C48" s="3">
        <f t="shared" si="2"/>
        <v>12</v>
      </c>
      <c r="D48" s="11">
        <f t="shared" si="3"/>
        <v>3.833333333</v>
      </c>
      <c r="E48" s="3">
        <f t="shared" si="4"/>
        <v>2000</v>
      </c>
      <c r="F48" s="2">
        <f t="shared" si="5"/>
        <v>100398.9118</v>
      </c>
    </row>
    <row r="49">
      <c r="B49" s="3">
        <f t="shared" si="1"/>
        <v>0.064</v>
      </c>
      <c r="C49" s="3">
        <f t="shared" si="2"/>
        <v>12</v>
      </c>
      <c r="D49" s="11">
        <f t="shared" si="3"/>
        <v>3.916666667</v>
      </c>
      <c r="E49" s="3">
        <f t="shared" si="4"/>
        <v>2000</v>
      </c>
      <c r="F49" s="2">
        <f t="shared" si="5"/>
        <v>98934.37269</v>
      </c>
    </row>
    <row r="50">
      <c r="B50" s="3">
        <f t="shared" si="1"/>
        <v>0.064</v>
      </c>
      <c r="C50" s="3">
        <f t="shared" si="2"/>
        <v>12</v>
      </c>
      <c r="D50" s="11">
        <f t="shared" si="3"/>
        <v>4</v>
      </c>
      <c r="E50" s="3">
        <f t="shared" si="4"/>
        <v>2000</v>
      </c>
      <c r="F50" s="2">
        <f t="shared" si="5"/>
        <v>97462.02267</v>
      </c>
    </row>
    <row r="51">
      <c r="B51" s="3">
        <f t="shared" si="1"/>
        <v>0.064</v>
      </c>
      <c r="C51" s="3">
        <f t="shared" si="2"/>
        <v>12</v>
      </c>
      <c r="D51" s="11">
        <f t="shared" si="3"/>
        <v>4.083333333</v>
      </c>
      <c r="E51" s="3">
        <f t="shared" si="4"/>
        <v>2000</v>
      </c>
      <c r="F51" s="2">
        <f t="shared" si="5"/>
        <v>95981.82013</v>
      </c>
    </row>
    <row r="52">
      <c r="B52" s="3">
        <f t="shared" si="1"/>
        <v>0.064</v>
      </c>
      <c r="C52" s="3">
        <f t="shared" si="2"/>
        <v>12</v>
      </c>
      <c r="D52" s="11">
        <f t="shared" si="3"/>
        <v>4.166666667</v>
      </c>
      <c r="E52" s="3">
        <f t="shared" si="4"/>
        <v>2000</v>
      </c>
      <c r="F52" s="2">
        <f t="shared" si="5"/>
        <v>94493.72317</v>
      </c>
    </row>
    <row r="53">
      <c r="B53" s="3">
        <f t="shared" si="1"/>
        <v>0.064</v>
      </c>
      <c r="C53" s="3">
        <f t="shared" si="2"/>
        <v>12</v>
      </c>
      <c r="D53" s="11">
        <f t="shared" si="3"/>
        <v>4.25</v>
      </c>
      <c r="E53" s="3">
        <f t="shared" si="4"/>
        <v>2000</v>
      </c>
      <c r="F53" s="2">
        <f t="shared" si="5"/>
        <v>92997.68969</v>
      </c>
    </row>
    <row r="54">
      <c r="B54" s="3">
        <f t="shared" si="1"/>
        <v>0.064</v>
      </c>
      <c r="C54" s="3">
        <f t="shared" si="2"/>
        <v>12</v>
      </c>
      <c r="D54" s="11">
        <f t="shared" si="3"/>
        <v>4.333333333</v>
      </c>
      <c r="E54" s="3">
        <f t="shared" si="4"/>
        <v>2000</v>
      </c>
      <c r="F54" s="2">
        <f t="shared" si="5"/>
        <v>91493.67737</v>
      </c>
    </row>
    <row r="55">
      <c r="B55" s="3">
        <f t="shared" si="1"/>
        <v>0.064</v>
      </c>
      <c r="C55" s="3">
        <f t="shared" si="2"/>
        <v>12</v>
      </c>
      <c r="D55" s="11">
        <f t="shared" si="3"/>
        <v>4.416666667</v>
      </c>
      <c r="E55" s="3">
        <f t="shared" si="4"/>
        <v>2000</v>
      </c>
      <c r="F55" s="2">
        <f t="shared" si="5"/>
        <v>89981.64365</v>
      </c>
    </row>
    <row r="56">
      <c r="B56" s="3">
        <f t="shared" si="1"/>
        <v>0.064</v>
      </c>
      <c r="C56" s="3">
        <f t="shared" si="2"/>
        <v>12</v>
      </c>
      <c r="D56" s="11">
        <f t="shared" si="3"/>
        <v>4.5</v>
      </c>
      <c r="E56" s="3">
        <f t="shared" si="4"/>
        <v>2000</v>
      </c>
      <c r="F56" s="2">
        <f t="shared" si="5"/>
        <v>88461.54575</v>
      </c>
    </row>
    <row r="57">
      <c r="B57" s="3">
        <f t="shared" si="1"/>
        <v>0.064</v>
      </c>
      <c r="C57" s="3">
        <f t="shared" si="2"/>
        <v>12</v>
      </c>
      <c r="D57" s="11">
        <f t="shared" si="3"/>
        <v>4.583333333</v>
      </c>
      <c r="E57" s="3">
        <f t="shared" si="4"/>
        <v>2000</v>
      </c>
      <c r="F57" s="2">
        <f t="shared" si="5"/>
        <v>86933.34066</v>
      </c>
    </row>
    <row r="58">
      <c r="B58" s="3">
        <f t="shared" si="1"/>
        <v>0.064</v>
      </c>
      <c r="C58" s="3">
        <f t="shared" si="2"/>
        <v>12</v>
      </c>
      <c r="D58" s="11">
        <f t="shared" si="3"/>
        <v>4.666666667</v>
      </c>
      <c r="E58" s="3">
        <f t="shared" si="4"/>
        <v>2000</v>
      </c>
      <c r="F58" s="2">
        <f t="shared" si="5"/>
        <v>85396.98514</v>
      </c>
    </row>
    <row r="59">
      <c r="B59" s="3">
        <f t="shared" si="1"/>
        <v>0.064</v>
      </c>
      <c r="C59" s="3">
        <f t="shared" si="2"/>
        <v>12</v>
      </c>
      <c r="D59" s="11">
        <f t="shared" si="3"/>
        <v>4.75</v>
      </c>
      <c r="E59" s="3">
        <f t="shared" si="4"/>
        <v>2000</v>
      </c>
      <c r="F59" s="2">
        <f t="shared" si="5"/>
        <v>83852.43573</v>
      </c>
    </row>
    <row r="60">
      <c r="B60" s="3">
        <f t="shared" si="1"/>
        <v>0.064</v>
      </c>
      <c r="C60" s="3">
        <f t="shared" si="2"/>
        <v>12</v>
      </c>
      <c r="D60" s="11">
        <f t="shared" si="3"/>
        <v>4.833333333</v>
      </c>
      <c r="E60" s="3">
        <f t="shared" si="4"/>
        <v>2000</v>
      </c>
      <c r="F60" s="2">
        <f t="shared" si="5"/>
        <v>82299.64872</v>
      </c>
    </row>
    <row r="61">
      <c r="B61" s="3">
        <f t="shared" si="1"/>
        <v>0.064</v>
      </c>
      <c r="C61" s="3">
        <f t="shared" si="2"/>
        <v>12</v>
      </c>
      <c r="D61" s="11">
        <f t="shared" si="3"/>
        <v>4.916666667</v>
      </c>
      <c r="E61" s="3">
        <f t="shared" si="4"/>
        <v>2000</v>
      </c>
      <c r="F61" s="2">
        <f t="shared" si="5"/>
        <v>80738.58018</v>
      </c>
    </row>
    <row r="62">
      <c r="B62" s="3">
        <f t="shared" si="1"/>
        <v>0.064</v>
      </c>
      <c r="C62" s="3">
        <f t="shared" si="2"/>
        <v>12</v>
      </c>
      <c r="D62" s="11">
        <f t="shared" si="3"/>
        <v>5</v>
      </c>
      <c r="E62" s="3">
        <f t="shared" si="4"/>
        <v>2000</v>
      </c>
      <c r="F62" s="2">
        <f t="shared" si="5"/>
        <v>79169.18594</v>
      </c>
    </row>
    <row r="63">
      <c r="B63" s="3">
        <f t="shared" si="1"/>
        <v>0.064</v>
      </c>
      <c r="C63" s="3">
        <f t="shared" si="2"/>
        <v>12</v>
      </c>
      <c r="D63" s="11">
        <f t="shared" si="3"/>
        <v>5.083333333</v>
      </c>
      <c r="E63" s="3">
        <f t="shared" si="4"/>
        <v>2000</v>
      </c>
      <c r="F63" s="2">
        <f t="shared" si="5"/>
        <v>77591.4216</v>
      </c>
    </row>
    <row r="64">
      <c r="B64" s="3">
        <f t="shared" si="1"/>
        <v>0.064</v>
      </c>
      <c r="C64" s="3">
        <f t="shared" si="2"/>
        <v>12</v>
      </c>
      <c r="D64" s="11">
        <f t="shared" si="3"/>
        <v>5.166666667</v>
      </c>
      <c r="E64" s="3">
        <f t="shared" si="4"/>
        <v>2000</v>
      </c>
      <c r="F64" s="2">
        <f t="shared" si="5"/>
        <v>76005.24252</v>
      </c>
    </row>
    <row r="65">
      <c r="B65" s="3">
        <f t="shared" si="1"/>
        <v>0.064</v>
      </c>
      <c r="C65" s="3">
        <f t="shared" si="2"/>
        <v>12</v>
      </c>
      <c r="D65" s="11">
        <f t="shared" si="3"/>
        <v>5.25</v>
      </c>
      <c r="E65" s="3">
        <f t="shared" si="4"/>
        <v>2000</v>
      </c>
      <c r="F65" s="2">
        <f t="shared" si="5"/>
        <v>74410.60381</v>
      </c>
    </row>
    <row r="66">
      <c r="B66" s="3">
        <f t="shared" si="1"/>
        <v>0.064</v>
      </c>
      <c r="C66" s="3">
        <f t="shared" si="2"/>
        <v>12</v>
      </c>
      <c r="D66" s="11">
        <f t="shared" si="3"/>
        <v>5.333333333</v>
      </c>
      <c r="E66" s="3">
        <f t="shared" si="4"/>
        <v>2000</v>
      </c>
      <c r="F66" s="2">
        <f t="shared" si="5"/>
        <v>72807.46036</v>
      </c>
    </row>
    <row r="67">
      <c r="B67" s="3">
        <f t="shared" si="1"/>
        <v>0.064</v>
      </c>
      <c r="C67" s="3">
        <f t="shared" si="2"/>
        <v>12</v>
      </c>
      <c r="D67" s="11">
        <f t="shared" si="3"/>
        <v>5.416666667</v>
      </c>
      <c r="E67" s="3">
        <f t="shared" si="4"/>
        <v>2000</v>
      </c>
      <c r="F67" s="2">
        <f t="shared" si="5"/>
        <v>71195.76682</v>
      </c>
    </row>
    <row r="68">
      <c r="B68" s="3">
        <f t="shared" si="1"/>
        <v>0.064</v>
      </c>
      <c r="C68" s="3">
        <f t="shared" si="2"/>
        <v>12</v>
      </c>
      <c r="D68" s="11">
        <f t="shared" si="3"/>
        <v>5.5</v>
      </c>
      <c r="E68" s="3">
        <f t="shared" si="4"/>
        <v>2000</v>
      </c>
      <c r="F68" s="2">
        <f t="shared" si="5"/>
        <v>69575.47757</v>
      </c>
    </row>
    <row r="69">
      <c r="B69" s="3">
        <f t="shared" si="1"/>
        <v>0.064</v>
      </c>
      <c r="C69" s="3">
        <f t="shared" si="2"/>
        <v>12</v>
      </c>
      <c r="D69" s="11">
        <f t="shared" si="3"/>
        <v>5.583333333</v>
      </c>
      <c r="E69" s="3">
        <f t="shared" si="4"/>
        <v>2000</v>
      </c>
      <c r="F69" s="2">
        <f t="shared" si="5"/>
        <v>67946.54679</v>
      </c>
    </row>
    <row r="70">
      <c r="B70" s="3">
        <f t="shared" si="1"/>
        <v>0.064</v>
      </c>
      <c r="C70" s="3">
        <f t="shared" si="2"/>
        <v>12</v>
      </c>
      <c r="D70" s="11">
        <f t="shared" si="3"/>
        <v>5.666666667</v>
      </c>
      <c r="E70" s="3">
        <f t="shared" si="4"/>
        <v>2000</v>
      </c>
      <c r="F70" s="2">
        <f t="shared" si="5"/>
        <v>66308.92837</v>
      </c>
    </row>
    <row r="71">
      <c r="B71" s="3">
        <f t="shared" si="1"/>
        <v>0.064</v>
      </c>
      <c r="C71" s="3">
        <f t="shared" si="2"/>
        <v>12</v>
      </c>
      <c r="D71" s="11">
        <f t="shared" si="3"/>
        <v>5.75</v>
      </c>
      <c r="E71" s="3">
        <f t="shared" si="4"/>
        <v>2000</v>
      </c>
      <c r="F71" s="2">
        <f t="shared" si="5"/>
        <v>64662.57599</v>
      </c>
    </row>
    <row r="72">
      <c r="B72" s="3">
        <f t="shared" si="1"/>
        <v>0.064</v>
      </c>
      <c r="C72" s="3">
        <f t="shared" si="2"/>
        <v>12</v>
      </c>
      <c r="D72" s="11">
        <f t="shared" si="3"/>
        <v>5.833333333</v>
      </c>
      <c r="E72" s="3">
        <f t="shared" si="4"/>
        <v>2000</v>
      </c>
      <c r="F72" s="2">
        <f t="shared" si="5"/>
        <v>63007.44306</v>
      </c>
    </row>
    <row r="73">
      <c r="B73" s="3">
        <f t="shared" si="1"/>
        <v>0.064</v>
      </c>
      <c r="C73" s="3">
        <f t="shared" si="2"/>
        <v>12</v>
      </c>
      <c r="D73" s="11">
        <f t="shared" si="3"/>
        <v>5.916666667</v>
      </c>
      <c r="E73" s="3">
        <f t="shared" si="4"/>
        <v>2000</v>
      </c>
      <c r="F73" s="2">
        <f t="shared" si="5"/>
        <v>61343.48276</v>
      </c>
    </row>
    <row r="74">
      <c r="B74" s="3">
        <f t="shared" si="1"/>
        <v>0.064</v>
      </c>
      <c r="C74" s="3">
        <f t="shared" si="2"/>
        <v>12</v>
      </c>
      <c r="D74" s="11">
        <f t="shared" si="3"/>
        <v>6</v>
      </c>
      <c r="E74" s="3">
        <f t="shared" si="4"/>
        <v>2000</v>
      </c>
      <c r="F74" s="2">
        <f t="shared" si="5"/>
        <v>59670.648</v>
      </c>
    </row>
    <row r="75">
      <c r="B75" s="3">
        <f t="shared" si="1"/>
        <v>0.064</v>
      </c>
      <c r="C75" s="3">
        <f t="shared" si="2"/>
        <v>12</v>
      </c>
      <c r="D75" s="11">
        <f t="shared" si="3"/>
        <v>6.083333333</v>
      </c>
      <c r="E75" s="3">
        <f t="shared" si="4"/>
        <v>2000</v>
      </c>
      <c r="F75" s="2">
        <f t="shared" si="5"/>
        <v>57988.89145</v>
      </c>
    </row>
    <row r="76">
      <c r="B76" s="3">
        <f t="shared" si="1"/>
        <v>0.064</v>
      </c>
      <c r="C76" s="3">
        <f t="shared" si="2"/>
        <v>12</v>
      </c>
      <c r="D76" s="11">
        <f t="shared" si="3"/>
        <v>6.166666667</v>
      </c>
      <c r="E76" s="3">
        <f t="shared" si="4"/>
        <v>2000</v>
      </c>
      <c r="F76" s="2">
        <f t="shared" si="5"/>
        <v>56298.16554</v>
      </c>
    </row>
    <row r="77">
      <c r="B77" s="3">
        <f t="shared" si="1"/>
        <v>0.064</v>
      </c>
      <c r="C77" s="3">
        <f t="shared" si="2"/>
        <v>12</v>
      </c>
      <c r="D77" s="11">
        <f t="shared" si="3"/>
        <v>6.25</v>
      </c>
      <c r="E77" s="3">
        <f t="shared" si="4"/>
        <v>2000</v>
      </c>
      <c r="F77" s="2">
        <f t="shared" si="5"/>
        <v>54598.42243</v>
      </c>
    </row>
    <row r="78">
      <c r="B78" s="3">
        <f t="shared" si="1"/>
        <v>0.064</v>
      </c>
      <c r="C78" s="3">
        <f t="shared" si="2"/>
        <v>12</v>
      </c>
      <c r="D78" s="11">
        <f t="shared" si="3"/>
        <v>6.333333333</v>
      </c>
      <c r="E78" s="3">
        <f t="shared" si="4"/>
        <v>2000</v>
      </c>
      <c r="F78" s="2">
        <f t="shared" si="5"/>
        <v>52889.61401</v>
      </c>
    </row>
    <row r="79">
      <c r="B79" s="3">
        <f t="shared" si="1"/>
        <v>0.064</v>
      </c>
      <c r="C79" s="3">
        <f t="shared" si="2"/>
        <v>12</v>
      </c>
      <c r="D79" s="11">
        <f t="shared" si="3"/>
        <v>6.416666667</v>
      </c>
      <c r="E79" s="3">
        <f t="shared" si="4"/>
        <v>2000</v>
      </c>
      <c r="F79" s="2">
        <f t="shared" si="5"/>
        <v>51171.69195</v>
      </c>
    </row>
    <row r="80">
      <c r="B80" s="3">
        <f t="shared" si="1"/>
        <v>0.064</v>
      </c>
      <c r="C80" s="3">
        <f t="shared" si="2"/>
        <v>12</v>
      </c>
      <c r="D80" s="11">
        <f t="shared" si="3"/>
        <v>6.5</v>
      </c>
      <c r="E80" s="3">
        <f t="shared" si="4"/>
        <v>2000</v>
      </c>
      <c r="F80" s="2">
        <f t="shared" si="5"/>
        <v>49444.60764</v>
      </c>
    </row>
    <row r="81">
      <c r="B81" s="3">
        <f t="shared" si="1"/>
        <v>0.064</v>
      </c>
      <c r="C81" s="3">
        <f t="shared" si="2"/>
        <v>12</v>
      </c>
      <c r="D81" s="11">
        <f t="shared" si="3"/>
        <v>6.583333333</v>
      </c>
      <c r="E81" s="3">
        <f t="shared" si="4"/>
        <v>2000</v>
      </c>
      <c r="F81" s="2">
        <f t="shared" si="5"/>
        <v>47708.31222</v>
      </c>
    </row>
    <row r="82">
      <c r="B82" s="3">
        <f t="shared" si="1"/>
        <v>0.064</v>
      </c>
      <c r="C82" s="3">
        <f t="shared" si="2"/>
        <v>12</v>
      </c>
      <c r="D82" s="11">
        <f t="shared" si="3"/>
        <v>6.666666667</v>
      </c>
      <c r="E82" s="3">
        <f t="shared" si="4"/>
        <v>2000</v>
      </c>
      <c r="F82" s="2">
        <f t="shared" si="5"/>
        <v>45962.75655</v>
      </c>
    </row>
    <row r="83">
      <c r="B83" s="3">
        <f t="shared" si="1"/>
        <v>0.064</v>
      </c>
      <c r="C83" s="3">
        <f t="shared" si="2"/>
        <v>12</v>
      </c>
      <c r="D83" s="11">
        <f t="shared" si="3"/>
        <v>6.75</v>
      </c>
      <c r="E83" s="3">
        <f t="shared" si="4"/>
        <v>2000</v>
      </c>
      <c r="F83" s="2">
        <f t="shared" si="5"/>
        <v>44207.89125</v>
      </c>
    </row>
    <row r="84">
      <c r="B84" s="3">
        <f t="shared" si="1"/>
        <v>0.064</v>
      </c>
      <c r="C84" s="3">
        <f t="shared" si="2"/>
        <v>12</v>
      </c>
      <c r="D84" s="11">
        <f t="shared" si="3"/>
        <v>6.833333333</v>
      </c>
      <c r="E84" s="3">
        <f t="shared" si="4"/>
        <v>2000</v>
      </c>
      <c r="F84" s="2">
        <f t="shared" si="5"/>
        <v>42443.66667</v>
      </c>
    </row>
    <row r="85">
      <c r="B85" s="3">
        <f t="shared" si="1"/>
        <v>0.064</v>
      </c>
      <c r="C85" s="3">
        <f t="shared" si="2"/>
        <v>12</v>
      </c>
      <c r="D85" s="11">
        <f t="shared" si="3"/>
        <v>6.916666667</v>
      </c>
      <c r="E85" s="3">
        <f t="shared" si="4"/>
        <v>2000</v>
      </c>
      <c r="F85" s="2">
        <f t="shared" si="5"/>
        <v>40670.03289</v>
      </c>
    </row>
    <row r="86">
      <c r="B86" s="3">
        <f t="shared" si="1"/>
        <v>0.064</v>
      </c>
      <c r="C86" s="3">
        <f t="shared" si="2"/>
        <v>12</v>
      </c>
      <c r="D86" s="11">
        <f t="shared" si="3"/>
        <v>7</v>
      </c>
      <c r="E86" s="3">
        <f t="shared" si="4"/>
        <v>2000</v>
      </c>
      <c r="F86" s="2">
        <f t="shared" si="5"/>
        <v>38886.93974</v>
      </c>
    </row>
    <row r="87">
      <c r="B87" s="3">
        <f t="shared" si="1"/>
        <v>0.064</v>
      </c>
      <c r="C87" s="3">
        <f t="shared" si="2"/>
        <v>12</v>
      </c>
      <c r="D87" s="11">
        <f t="shared" si="3"/>
        <v>7.083333333</v>
      </c>
      <c r="E87" s="3">
        <f t="shared" si="4"/>
        <v>2000</v>
      </c>
      <c r="F87" s="2">
        <f t="shared" si="5"/>
        <v>37094.33675</v>
      </c>
    </row>
    <row r="88">
      <c r="B88" s="3">
        <f t="shared" si="1"/>
        <v>0.064</v>
      </c>
      <c r="C88" s="3">
        <f t="shared" si="2"/>
        <v>12</v>
      </c>
      <c r="D88" s="11">
        <f t="shared" si="3"/>
        <v>7.166666667</v>
      </c>
      <c r="E88" s="3">
        <f t="shared" si="4"/>
        <v>2000</v>
      </c>
      <c r="F88" s="2">
        <f t="shared" si="5"/>
        <v>35292.17321</v>
      </c>
    </row>
    <row r="89">
      <c r="B89" s="3">
        <f t="shared" si="1"/>
        <v>0.064</v>
      </c>
      <c r="C89" s="3">
        <f t="shared" si="2"/>
        <v>12</v>
      </c>
      <c r="D89" s="11">
        <f t="shared" si="3"/>
        <v>7.25</v>
      </c>
      <c r="E89" s="3">
        <f t="shared" si="4"/>
        <v>2000</v>
      </c>
      <c r="F89" s="2">
        <f t="shared" si="5"/>
        <v>33480.39813</v>
      </c>
    </row>
    <row r="90">
      <c r="B90" s="3">
        <f t="shared" si="1"/>
        <v>0.064</v>
      </c>
      <c r="C90" s="3">
        <f t="shared" si="2"/>
        <v>12</v>
      </c>
      <c r="D90" s="11">
        <f t="shared" si="3"/>
        <v>7.333333333</v>
      </c>
      <c r="E90" s="3">
        <f t="shared" si="4"/>
        <v>2000</v>
      </c>
      <c r="F90" s="2">
        <f t="shared" si="5"/>
        <v>31658.96026</v>
      </c>
    </row>
    <row r="91">
      <c r="B91" s="3">
        <f t="shared" si="1"/>
        <v>0.064</v>
      </c>
      <c r="C91" s="3">
        <f t="shared" si="2"/>
        <v>12</v>
      </c>
      <c r="D91" s="11">
        <f t="shared" si="3"/>
        <v>7.416666667</v>
      </c>
      <c r="E91" s="3">
        <f t="shared" si="4"/>
        <v>2000</v>
      </c>
      <c r="F91" s="2">
        <f t="shared" si="5"/>
        <v>29827.80805</v>
      </c>
    </row>
    <row r="92">
      <c r="B92" s="3">
        <f t="shared" si="1"/>
        <v>0.064</v>
      </c>
      <c r="C92" s="3">
        <f t="shared" si="2"/>
        <v>12</v>
      </c>
      <c r="D92" s="11">
        <f t="shared" si="3"/>
        <v>7.5</v>
      </c>
      <c r="E92" s="3">
        <f t="shared" si="4"/>
        <v>2000</v>
      </c>
      <c r="F92" s="2">
        <f t="shared" si="5"/>
        <v>27986.88969</v>
      </c>
    </row>
    <row r="93">
      <c r="B93" s="3">
        <f t="shared" si="1"/>
        <v>0.064</v>
      </c>
      <c r="C93" s="3">
        <f t="shared" si="2"/>
        <v>12</v>
      </c>
      <c r="D93" s="11">
        <f t="shared" si="3"/>
        <v>7.583333333</v>
      </c>
      <c r="E93" s="3">
        <f t="shared" si="4"/>
        <v>2000</v>
      </c>
      <c r="F93" s="2">
        <f t="shared" si="5"/>
        <v>26136.1531</v>
      </c>
    </row>
    <row r="94">
      <c r="B94" s="3">
        <f t="shared" si="1"/>
        <v>0.064</v>
      </c>
      <c r="C94" s="3">
        <f t="shared" si="2"/>
        <v>12</v>
      </c>
      <c r="D94" s="11">
        <f t="shared" si="3"/>
        <v>7.666666667</v>
      </c>
      <c r="E94" s="3">
        <f t="shared" si="4"/>
        <v>2000</v>
      </c>
      <c r="F94" s="2">
        <f t="shared" si="5"/>
        <v>24275.54592</v>
      </c>
    </row>
    <row r="95">
      <c r="B95" s="3">
        <f t="shared" si="1"/>
        <v>0.064</v>
      </c>
      <c r="C95" s="3">
        <f t="shared" si="2"/>
        <v>12</v>
      </c>
      <c r="D95" s="11">
        <f t="shared" si="3"/>
        <v>7.75</v>
      </c>
      <c r="E95" s="3">
        <f t="shared" si="4"/>
        <v>2000</v>
      </c>
      <c r="F95" s="2">
        <f t="shared" si="5"/>
        <v>22405.01549</v>
      </c>
    </row>
    <row r="96">
      <c r="B96" s="3">
        <f t="shared" si="1"/>
        <v>0.064</v>
      </c>
      <c r="C96" s="3">
        <f t="shared" si="2"/>
        <v>12</v>
      </c>
      <c r="D96" s="11">
        <f t="shared" si="3"/>
        <v>7.833333333</v>
      </c>
      <c r="E96" s="3">
        <f t="shared" si="4"/>
        <v>2000</v>
      </c>
      <c r="F96" s="2">
        <f t="shared" si="5"/>
        <v>20524.50891</v>
      </c>
    </row>
    <row r="97">
      <c r="B97" s="3">
        <f t="shared" si="1"/>
        <v>0.064</v>
      </c>
      <c r="C97" s="3">
        <f t="shared" si="2"/>
        <v>12</v>
      </c>
      <c r="D97" s="11">
        <f t="shared" si="3"/>
        <v>7.916666667</v>
      </c>
      <c r="E97" s="3">
        <f t="shared" si="4"/>
        <v>2000</v>
      </c>
      <c r="F97" s="2">
        <f t="shared" si="5"/>
        <v>18633.97296</v>
      </c>
    </row>
    <row r="98">
      <c r="B98" s="3">
        <f t="shared" si="1"/>
        <v>0.064</v>
      </c>
      <c r="C98" s="3">
        <f t="shared" si="2"/>
        <v>12</v>
      </c>
      <c r="D98" s="11">
        <f t="shared" si="3"/>
        <v>8</v>
      </c>
      <c r="E98" s="3">
        <f t="shared" si="4"/>
        <v>2000</v>
      </c>
      <c r="F98" s="2">
        <f t="shared" si="5"/>
        <v>16733.35415</v>
      </c>
    </row>
    <row r="99">
      <c r="B99" s="3">
        <f t="shared" si="1"/>
        <v>0.064</v>
      </c>
      <c r="C99" s="3">
        <f t="shared" si="2"/>
        <v>12</v>
      </c>
      <c r="D99" s="11">
        <f t="shared" si="3"/>
        <v>8.083333333</v>
      </c>
      <c r="E99" s="3">
        <f t="shared" si="4"/>
        <v>2000</v>
      </c>
      <c r="F99" s="2">
        <f t="shared" si="5"/>
        <v>14822.5987</v>
      </c>
    </row>
    <row r="100">
      <c r="B100" s="3">
        <f t="shared" si="1"/>
        <v>0.064</v>
      </c>
      <c r="C100" s="3">
        <f t="shared" si="2"/>
        <v>12</v>
      </c>
      <c r="D100" s="11">
        <f t="shared" si="3"/>
        <v>8.166666667</v>
      </c>
      <c r="E100" s="3">
        <f t="shared" si="4"/>
        <v>2000</v>
      </c>
      <c r="F100" s="2">
        <f t="shared" si="5"/>
        <v>12901.65256</v>
      </c>
    </row>
    <row r="101">
      <c r="B101" s="3">
        <f t="shared" si="1"/>
        <v>0.064</v>
      </c>
      <c r="C101" s="3">
        <f t="shared" si="2"/>
        <v>12</v>
      </c>
      <c r="D101" s="11">
        <f t="shared" si="3"/>
        <v>8.25</v>
      </c>
      <c r="E101" s="3">
        <f t="shared" si="4"/>
        <v>2000</v>
      </c>
      <c r="F101" s="2">
        <f t="shared" si="5"/>
        <v>10970.46138</v>
      </c>
    </row>
    <row r="102">
      <c r="B102" s="3">
        <f t="shared" si="1"/>
        <v>0.064</v>
      </c>
      <c r="C102" s="3">
        <f t="shared" si="2"/>
        <v>12</v>
      </c>
      <c r="D102" s="11">
        <f t="shared" si="3"/>
        <v>8.333333333</v>
      </c>
      <c r="E102" s="3">
        <f t="shared" si="4"/>
        <v>2000</v>
      </c>
      <c r="F102" s="2">
        <f t="shared" si="5"/>
        <v>9028.970503</v>
      </c>
    </row>
    <row r="103">
      <c r="B103" s="3">
        <f t="shared" si="1"/>
        <v>0.064</v>
      </c>
      <c r="C103" s="3">
        <f t="shared" si="2"/>
        <v>12</v>
      </c>
      <c r="D103" s="11">
        <f t="shared" si="3"/>
        <v>8.416666667</v>
      </c>
      <c r="E103" s="3">
        <f t="shared" si="4"/>
        <v>2000</v>
      </c>
      <c r="F103" s="2">
        <f t="shared" si="5"/>
        <v>7077.125013</v>
      </c>
    </row>
    <row r="104">
      <c r="B104" s="3">
        <f t="shared" si="1"/>
        <v>0.064</v>
      </c>
      <c r="C104" s="3">
        <f t="shared" si="2"/>
        <v>12</v>
      </c>
      <c r="D104" s="11">
        <f t="shared" si="3"/>
        <v>8.5</v>
      </c>
      <c r="E104" s="3">
        <f t="shared" si="4"/>
        <v>2000</v>
      </c>
      <c r="F104" s="2">
        <f t="shared" si="5"/>
        <v>5114.869679</v>
      </c>
    </row>
    <row r="105">
      <c r="B105" s="3">
        <f t="shared" si="1"/>
        <v>0.064</v>
      </c>
      <c r="C105" s="3">
        <f t="shared" si="2"/>
        <v>12</v>
      </c>
      <c r="D105" s="11">
        <f t="shared" si="3"/>
        <v>8.583333333</v>
      </c>
      <c r="E105" s="3">
        <f t="shared" si="4"/>
        <v>2000</v>
      </c>
      <c r="F105" s="2">
        <f t="shared" si="5"/>
        <v>3142.148984</v>
      </c>
    </row>
    <row r="106">
      <c r="B106" s="3">
        <f t="shared" si="1"/>
        <v>0.064</v>
      </c>
      <c r="C106" s="3">
        <f t="shared" si="2"/>
        <v>12</v>
      </c>
      <c r="D106" s="11">
        <f t="shared" si="3"/>
        <v>8.666666667</v>
      </c>
      <c r="E106" s="3">
        <f t="shared" si="4"/>
        <v>2000</v>
      </c>
      <c r="F106" s="2">
        <f t="shared" si="5"/>
        <v>1158.907112</v>
      </c>
    </row>
    <row r="107">
      <c r="B107" s="3">
        <f t="shared" si="1"/>
        <v>0.064</v>
      </c>
      <c r="C107" s="3">
        <f t="shared" si="2"/>
        <v>12</v>
      </c>
      <c r="D107" s="11">
        <f t="shared" si="3"/>
        <v>8.75</v>
      </c>
      <c r="E107" s="3">
        <f t="shared" si="4"/>
        <v>2000</v>
      </c>
      <c r="F107" s="2">
        <f t="shared" si="5"/>
        <v>-834.9120497</v>
      </c>
    </row>
    <row r="108">
      <c r="B108" s="3">
        <f t="shared" si="1"/>
        <v>0.064</v>
      </c>
      <c r="C108" s="3">
        <f t="shared" si="2"/>
        <v>12</v>
      </c>
      <c r="D108" s="11">
        <f t="shared" si="3"/>
        <v>8.833333333</v>
      </c>
      <c r="E108" s="3">
        <f t="shared" si="4"/>
        <v>2000</v>
      </c>
      <c r="F108" s="2">
        <f t="shared" si="5"/>
        <v>-2839.364914</v>
      </c>
    </row>
    <row r="109">
      <c r="B109" s="3">
        <f t="shared" si="1"/>
        <v>0.064</v>
      </c>
      <c r="C109" s="3">
        <f t="shared" si="2"/>
        <v>12</v>
      </c>
      <c r="D109" s="11">
        <f t="shared" si="3"/>
        <v>8.916666667</v>
      </c>
      <c r="E109" s="3">
        <f t="shared" si="4"/>
        <v>2000</v>
      </c>
      <c r="F109" s="2">
        <f t="shared" si="5"/>
        <v>-4854.508194</v>
      </c>
    </row>
    <row r="110">
      <c r="B110" s="3">
        <f t="shared" si="1"/>
        <v>0.064</v>
      </c>
      <c r="C110" s="3">
        <f t="shared" si="2"/>
        <v>12</v>
      </c>
      <c r="D110" s="11">
        <f t="shared" si="3"/>
        <v>9</v>
      </c>
      <c r="E110" s="3">
        <f t="shared" si="4"/>
        <v>2000</v>
      </c>
      <c r="F110" s="2">
        <f t="shared" si="5"/>
        <v>-6880.398904</v>
      </c>
    </row>
    <row r="111">
      <c r="B111" s="3">
        <f t="shared" si="1"/>
        <v>0.064</v>
      </c>
      <c r="C111" s="3">
        <f t="shared" si="2"/>
        <v>12</v>
      </c>
      <c r="D111" s="11">
        <f t="shared" si="3"/>
        <v>9.083333333</v>
      </c>
      <c r="E111" s="3">
        <f t="shared" si="4"/>
        <v>2000</v>
      </c>
      <c r="F111" s="2">
        <f t="shared" si="5"/>
        <v>-8917.094365</v>
      </c>
    </row>
    <row r="112">
      <c r="B112" s="3">
        <f t="shared" si="1"/>
        <v>0.064</v>
      </c>
      <c r="C112" s="3">
        <f t="shared" si="2"/>
        <v>12</v>
      </c>
      <c r="D112" s="11">
        <f t="shared" si="3"/>
        <v>9.166666667</v>
      </c>
      <c r="E112" s="3">
        <f t="shared" si="4"/>
        <v>2000</v>
      </c>
      <c r="F112" s="2">
        <f t="shared" si="5"/>
        <v>-10964.6522</v>
      </c>
    </row>
    <row r="113">
      <c r="B113" s="3">
        <f t="shared" si="1"/>
        <v>0.064</v>
      </c>
      <c r="C113" s="3">
        <f t="shared" si="2"/>
        <v>12</v>
      </c>
      <c r="D113" s="11">
        <f t="shared" si="3"/>
        <v>9.25</v>
      </c>
      <c r="E113" s="3">
        <f t="shared" si="4"/>
        <v>2000</v>
      </c>
      <c r="F113" s="2">
        <f t="shared" si="5"/>
        <v>-13023.13035</v>
      </c>
    </row>
    <row r="114">
      <c r="B114" s="3">
        <f t="shared" si="1"/>
        <v>0.064</v>
      </c>
      <c r="C114" s="3">
        <f t="shared" si="2"/>
        <v>12</v>
      </c>
      <c r="D114" s="11">
        <f t="shared" si="3"/>
        <v>9.333333333</v>
      </c>
      <c r="E114" s="3">
        <f t="shared" si="4"/>
        <v>2000</v>
      </c>
      <c r="F114" s="2">
        <f t="shared" si="5"/>
        <v>-15092.58704</v>
      </c>
    </row>
    <row r="115">
      <c r="B115" s="3">
        <f t="shared" si="1"/>
        <v>0.064</v>
      </c>
      <c r="C115" s="3">
        <f t="shared" si="2"/>
        <v>12</v>
      </c>
      <c r="D115" s="11">
        <f t="shared" si="3"/>
        <v>9.416666667</v>
      </c>
      <c r="E115" s="3">
        <f t="shared" si="4"/>
        <v>2000</v>
      </c>
      <c r="F115" s="2">
        <f t="shared" si="5"/>
        <v>-17173.08084</v>
      </c>
    </row>
    <row r="116">
      <c r="B116" s="3">
        <f t="shared" si="1"/>
        <v>0.064</v>
      </c>
      <c r="C116" s="3">
        <f t="shared" si="2"/>
        <v>12</v>
      </c>
      <c r="D116" s="11">
        <f t="shared" si="3"/>
        <v>9.5</v>
      </c>
      <c r="E116" s="3">
        <f t="shared" si="4"/>
        <v>2000</v>
      </c>
      <c r="F116" s="2">
        <f t="shared" si="5"/>
        <v>-19264.6706</v>
      </c>
    </row>
    <row r="117">
      <c r="B117" s="3">
        <f t="shared" si="1"/>
        <v>0.064</v>
      </c>
      <c r="C117" s="3">
        <f t="shared" si="2"/>
        <v>12</v>
      </c>
      <c r="D117" s="11">
        <f t="shared" si="3"/>
        <v>9.583333333</v>
      </c>
      <c r="E117" s="3">
        <f t="shared" si="4"/>
        <v>2000</v>
      </c>
      <c r="F117" s="2">
        <f t="shared" si="5"/>
        <v>-21367.41551</v>
      </c>
    </row>
    <row r="118">
      <c r="D118" s="11"/>
      <c r="F118" s="2"/>
    </row>
    <row r="119">
      <c r="D119" s="11"/>
      <c r="F119" s="2"/>
    </row>
    <row r="120">
      <c r="D120" s="11"/>
      <c r="F120" s="2"/>
    </row>
    <row r="121">
      <c r="D121" s="11"/>
      <c r="F121" s="2"/>
    </row>
    <row r="122">
      <c r="D122" s="11"/>
      <c r="F122" s="2"/>
    </row>
    <row r="123">
      <c r="D123" s="11"/>
      <c r="F123" s="2"/>
    </row>
    <row r="124">
      <c r="D124" s="11"/>
      <c r="F124" s="2"/>
    </row>
    <row r="125">
      <c r="D125" s="11"/>
      <c r="F125" s="2"/>
    </row>
    <row r="126">
      <c r="D126" s="11"/>
      <c r="F126" s="2"/>
    </row>
    <row r="127">
      <c r="D127" s="11"/>
      <c r="F127" s="2"/>
    </row>
    <row r="128">
      <c r="D128" s="11"/>
      <c r="F128" s="2"/>
    </row>
    <row r="129">
      <c r="D129" s="11"/>
      <c r="F129" s="2"/>
    </row>
    <row r="130">
      <c r="D130" s="11"/>
      <c r="F130" s="2"/>
    </row>
    <row r="131">
      <c r="D131" s="11"/>
      <c r="F131" s="2"/>
    </row>
    <row r="132">
      <c r="D132" s="11"/>
      <c r="F132" s="2"/>
    </row>
    <row r="133">
      <c r="D133" s="11"/>
      <c r="F133" s="2"/>
    </row>
    <row r="134">
      <c r="D134" s="11"/>
      <c r="F134" s="2"/>
    </row>
    <row r="135">
      <c r="D135" s="11"/>
      <c r="F135" s="2"/>
    </row>
    <row r="136">
      <c r="D136" s="11"/>
      <c r="F136" s="2"/>
    </row>
    <row r="137">
      <c r="D137" s="11"/>
      <c r="F137" s="2"/>
    </row>
    <row r="138">
      <c r="D138" s="11"/>
      <c r="F138" s="2"/>
    </row>
    <row r="139">
      <c r="D139" s="11"/>
      <c r="F139" s="2"/>
    </row>
    <row r="140">
      <c r="D140" s="11"/>
      <c r="F140" s="2"/>
    </row>
    <row r="141">
      <c r="D141" s="11"/>
      <c r="F141" s="2"/>
    </row>
    <row r="142">
      <c r="D142" s="11"/>
      <c r="F142" s="2"/>
    </row>
    <row r="143">
      <c r="D143" s="11"/>
      <c r="F143" s="2"/>
    </row>
    <row r="144">
      <c r="D144" s="11"/>
      <c r="F144" s="2"/>
    </row>
    <row r="145">
      <c r="D145" s="11"/>
      <c r="F145" s="2"/>
    </row>
    <row r="146">
      <c r="D146" s="11"/>
      <c r="F146" s="2"/>
    </row>
    <row r="147">
      <c r="D147" s="11"/>
      <c r="F147" s="2"/>
    </row>
    <row r="148">
      <c r="D148" s="11"/>
      <c r="F148" s="2"/>
    </row>
    <row r="149">
      <c r="D149" s="11"/>
      <c r="F149" s="2"/>
    </row>
    <row r="150">
      <c r="D150" s="11"/>
      <c r="F150" s="2"/>
    </row>
    <row r="151">
      <c r="D151" s="11"/>
      <c r="F151" s="2"/>
    </row>
    <row r="152">
      <c r="D152" s="11"/>
      <c r="F152" s="2"/>
    </row>
    <row r="153">
      <c r="D153" s="11"/>
      <c r="F153" s="2"/>
    </row>
    <row r="154">
      <c r="D154" s="11"/>
      <c r="F154" s="2"/>
    </row>
    <row r="155">
      <c r="D155" s="11"/>
      <c r="F155" s="2"/>
    </row>
    <row r="156">
      <c r="D156" s="11"/>
      <c r="F156" s="2"/>
    </row>
    <row r="157">
      <c r="D157" s="11"/>
      <c r="F157" s="2"/>
    </row>
    <row r="158">
      <c r="D158" s="11"/>
      <c r="F158" s="2"/>
    </row>
    <row r="159">
      <c r="D159" s="11"/>
      <c r="F159" s="2"/>
    </row>
    <row r="160">
      <c r="D160" s="11"/>
      <c r="F160" s="2"/>
    </row>
    <row r="161">
      <c r="D161" s="11"/>
      <c r="F161" s="2"/>
    </row>
    <row r="162">
      <c r="D162" s="11"/>
      <c r="F162" s="2"/>
    </row>
    <row r="163">
      <c r="D163" s="11"/>
      <c r="F163" s="2"/>
    </row>
    <row r="164">
      <c r="D164" s="11"/>
      <c r="F164" s="2"/>
    </row>
    <row r="165">
      <c r="D165" s="11"/>
      <c r="F165" s="2"/>
    </row>
    <row r="166">
      <c r="D166" s="11"/>
      <c r="F166" s="2"/>
    </row>
    <row r="167">
      <c r="D167" s="11"/>
      <c r="F167" s="2"/>
    </row>
    <row r="168">
      <c r="D168" s="11"/>
      <c r="F168" s="2"/>
    </row>
    <row r="169">
      <c r="D169" s="11"/>
      <c r="F169" s="2"/>
    </row>
    <row r="170">
      <c r="D170" s="11"/>
      <c r="F170" s="2"/>
    </row>
    <row r="171">
      <c r="D171" s="11"/>
      <c r="F171" s="2"/>
    </row>
    <row r="172">
      <c r="D172" s="11"/>
      <c r="F172" s="2"/>
    </row>
    <row r="173">
      <c r="D173" s="11"/>
      <c r="F173" s="2"/>
    </row>
    <row r="174">
      <c r="D174" s="11"/>
      <c r="F174" s="2"/>
    </row>
    <row r="175">
      <c r="D175" s="11"/>
      <c r="F175" s="2"/>
    </row>
    <row r="176">
      <c r="D176" s="11"/>
      <c r="F176" s="2"/>
    </row>
    <row r="177">
      <c r="D177" s="11"/>
      <c r="F177" s="2"/>
    </row>
    <row r="178">
      <c r="D178" s="11"/>
      <c r="F178" s="2"/>
    </row>
    <row r="179">
      <c r="D179" s="11"/>
      <c r="F179" s="2"/>
    </row>
    <row r="180">
      <c r="D180" s="11"/>
      <c r="F180" s="2"/>
    </row>
    <row r="181">
      <c r="D181" s="11"/>
      <c r="F181" s="2"/>
    </row>
    <row r="182">
      <c r="D182" s="11"/>
      <c r="F182" s="2"/>
    </row>
    <row r="183">
      <c r="D183" s="11"/>
      <c r="F183" s="2"/>
    </row>
    <row r="184">
      <c r="D184" s="11"/>
      <c r="F184" s="2"/>
    </row>
    <row r="185">
      <c r="D185" s="11"/>
      <c r="F185" s="2"/>
    </row>
    <row r="186">
      <c r="D186" s="11"/>
      <c r="F186" s="2"/>
    </row>
    <row r="187">
      <c r="D187" s="11"/>
      <c r="F187" s="2"/>
    </row>
    <row r="188">
      <c r="D188" s="11"/>
      <c r="F188" s="2"/>
    </row>
    <row r="189">
      <c r="D189" s="11"/>
      <c r="F189" s="2"/>
    </row>
    <row r="190">
      <c r="D190" s="11"/>
      <c r="F190" s="2"/>
    </row>
    <row r="191">
      <c r="D191" s="11"/>
      <c r="F191" s="2"/>
    </row>
    <row r="192">
      <c r="D192" s="11"/>
      <c r="F192" s="2"/>
    </row>
    <row r="193">
      <c r="D193" s="11"/>
      <c r="F193" s="2"/>
    </row>
    <row r="194">
      <c r="D194" s="11"/>
      <c r="F194" s="2"/>
    </row>
    <row r="195">
      <c r="D195" s="11"/>
      <c r="F195" s="2"/>
    </row>
    <row r="196">
      <c r="D196" s="11"/>
      <c r="F196" s="2"/>
    </row>
    <row r="197">
      <c r="D197" s="11"/>
      <c r="F197" s="2"/>
    </row>
    <row r="198">
      <c r="D198" s="11"/>
      <c r="F198" s="2"/>
    </row>
    <row r="199">
      <c r="D199" s="11"/>
      <c r="F199" s="2"/>
    </row>
    <row r="200">
      <c r="D200" s="11"/>
      <c r="F200" s="2"/>
    </row>
    <row r="201">
      <c r="D201" s="11"/>
      <c r="F201" s="2"/>
    </row>
    <row r="202">
      <c r="D202" s="11"/>
      <c r="F202" s="2"/>
    </row>
    <row r="203">
      <c r="D203" s="11"/>
      <c r="F203" s="2"/>
    </row>
    <row r="204">
      <c r="D204" s="11"/>
      <c r="F204" s="2"/>
    </row>
    <row r="205">
      <c r="D205" s="11"/>
      <c r="F205" s="2"/>
    </row>
    <row r="206">
      <c r="D206" s="11"/>
      <c r="F206" s="2"/>
    </row>
    <row r="207">
      <c r="D207" s="11"/>
      <c r="F207" s="2"/>
    </row>
    <row r="208">
      <c r="D208" s="11"/>
      <c r="F208" s="2"/>
    </row>
    <row r="209">
      <c r="D209" s="11"/>
      <c r="F209" s="2"/>
    </row>
    <row r="210">
      <c r="D210" s="11"/>
      <c r="F210" s="2"/>
    </row>
    <row r="211">
      <c r="D211" s="11"/>
      <c r="F211" s="2"/>
    </row>
    <row r="212">
      <c r="D212" s="11"/>
      <c r="F212" s="2"/>
    </row>
    <row r="213">
      <c r="D213" s="11"/>
      <c r="F213" s="2"/>
    </row>
    <row r="214">
      <c r="D214" s="11"/>
      <c r="F214" s="2"/>
    </row>
    <row r="215">
      <c r="D215" s="11"/>
      <c r="F215" s="2"/>
    </row>
    <row r="216">
      <c r="D216" s="11"/>
      <c r="F216" s="2"/>
    </row>
    <row r="217">
      <c r="D217" s="11"/>
      <c r="F217" s="2"/>
    </row>
    <row r="218">
      <c r="D218" s="11"/>
      <c r="F218" s="2"/>
    </row>
    <row r="219">
      <c r="D219" s="11"/>
      <c r="F219" s="2"/>
    </row>
    <row r="220">
      <c r="D220" s="11"/>
      <c r="F220" s="2"/>
    </row>
    <row r="221">
      <c r="D221" s="11"/>
      <c r="F221" s="2"/>
    </row>
    <row r="222">
      <c r="D222" s="11"/>
      <c r="F222" s="2"/>
    </row>
    <row r="223">
      <c r="D223" s="11"/>
      <c r="F223" s="2"/>
    </row>
    <row r="224">
      <c r="D224" s="11"/>
      <c r="F224" s="2"/>
    </row>
    <row r="225">
      <c r="D225" s="11"/>
      <c r="F225" s="2"/>
    </row>
    <row r="226">
      <c r="D226" s="11"/>
      <c r="F226" s="2"/>
    </row>
    <row r="227">
      <c r="D227" s="11"/>
      <c r="F227" s="2"/>
    </row>
    <row r="228">
      <c r="D228" s="11"/>
      <c r="F228" s="2"/>
    </row>
    <row r="229">
      <c r="D229" s="11"/>
      <c r="F229" s="2"/>
    </row>
    <row r="230">
      <c r="D230" s="11"/>
      <c r="F230" s="2"/>
    </row>
    <row r="231">
      <c r="D231" s="11"/>
      <c r="F231" s="2"/>
    </row>
    <row r="232">
      <c r="D232" s="11"/>
      <c r="F232" s="2"/>
    </row>
    <row r="233">
      <c r="D233" s="11"/>
      <c r="F233" s="2"/>
    </row>
    <row r="234">
      <c r="D234" s="11"/>
      <c r="F234" s="2"/>
    </row>
    <row r="235">
      <c r="D235" s="11"/>
      <c r="F235" s="2"/>
    </row>
    <row r="236">
      <c r="D236" s="11"/>
      <c r="F236" s="2"/>
    </row>
    <row r="237">
      <c r="D237" s="11"/>
      <c r="F237" s="2"/>
    </row>
    <row r="238">
      <c r="D238" s="11"/>
      <c r="F238" s="2"/>
    </row>
    <row r="239">
      <c r="D239" s="11"/>
      <c r="F239" s="2"/>
    </row>
    <row r="240">
      <c r="D240" s="11"/>
      <c r="F240" s="2"/>
    </row>
    <row r="241">
      <c r="D241" s="11"/>
      <c r="F241" s="2"/>
    </row>
    <row r="242">
      <c r="D242" s="11"/>
      <c r="F242" s="2"/>
    </row>
    <row r="243">
      <c r="D243" s="11"/>
      <c r="F243" s="2"/>
    </row>
    <row r="244">
      <c r="D244" s="11"/>
      <c r="F244" s="2"/>
    </row>
    <row r="245">
      <c r="D245" s="11"/>
      <c r="F245" s="2"/>
    </row>
    <row r="246">
      <c r="D246" s="11"/>
      <c r="F246" s="2"/>
    </row>
    <row r="247">
      <c r="D247" s="11"/>
      <c r="F247" s="2"/>
    </row>
    <row r="248">
      <c r="D248" s="11"/>
      <c r="F248" s="2"/>
    </row>
    <row r="249">
      <c r="D249" s="11"/>
      <c r="F249" s="2"/>
    </row>
    <row r="250">
      <c r="D250" s="11"/>
      <c r="F250" s="2"/>
    </row>
    <row r="251">
      <c r="D251" s="11"/>
      <c r="F251" s="2"/>
    </row>
    <row r="252">
      <c r="D252" s="11"/>
      <c r="F252" s="2"/>
    </row>
    <row r="253">
      <c r="D253" s="11"/>
      <c r="F253" s="2"/>
    </row>
    <row r="254">
      <c r="D254" s="11"/>
      <c r="F254" s="2"/>
    </row>
    <row r="255">
      <c r="D255" s="11"/>
      <c r="F255" s="2"/>
    </row>
    <row r="256">
      <c r="D256" s="11"/>
      <c r="F256" s="2"/>
    </row>
    <row r="257">
      <c r="D257" s="11"/>
      <c r="F257" s="2"/>
    </row>
    <row r="258">
      <c r="D258" s="11"/>
      <c r="F258" s="2"/>
    </row>
    <row r="259">
      <c r="D259" s="11"/>
      <c r="F259" s="2"/>
    </row>
    <row r="260">
      <c r="D260" s="11"/>
      <c r="F260" s="2"/>
    </row>
    <row r="261">
      <c r="D261" s="11"/>
      <c r="F261" s="2"/>
    </row>
    <row r="262">
      <c r="D262" s="11"/>
      <c r="F262" s="2"/>
    </row>
    <row r="263">
      <c r="D263" s="11"/>
      <c r="F263" s="2"/>
    </row>
    <row r="264">
      <c r="D264" s="11"/>
      <c r="F264" s="2"/>
    </row>
    <row r="265">
      <c r="D265" s="11"/>
      <c r="F265" s="2"/>
    </row>
    <row r="266">
      <c r="D266" s="11"/>
      <c r="F266" s="2"/>
    </row>
    <row r="267">
      <c r="D267" s="11"/>
      <c r="F267" s="2"/>
    </row>
    <row r="268">
      <c r="D268" s="11"/>
      <c r="F268" s="2"/>
    </row>
    <row r="269">
      <c r="D269" s="11"/>
      <c r="F269" s="2"/>
    </row>
    <row r="270">
      <c r="D270" s="11"/>
      <c r="F270" s="2"/>
    </row>
    <row r="271">
      <c r="D271" s="11"/>
      <c r="F271" s="2"/>
    </row>
    <row r="272">
      <c r="D272" s="11"/>
      <c r="F272" s="2"/>
    </row>
    <row r="273">
      <c r="D273" s="11"/>
      <c r="F273" s="2"/>
    </row>
    <row r="274">
      <c r="D274" s="11"/>
      <c r="F274" s="2"/>
    </row>
    <row r="275">
      <c r="D275" s="11"/>
      <c r="F275" s="2"/>
    </row>
    <row r="276">
      <c r="D276" s="11"/>
      <c r="F276" s="2"/>
    </row>
    <row r="277">
      <c r="D277" s="11"/>
      <c r="F277" s="2"/>
    </row>
    <row r="278">
      <c r="D278" s="11"/>
      <c r="F278" s="2"/>
    </row>
    <row r="279">
      <c r="D279" s="11"/>
      <c r="F279" s="2"/>
    </row>
    <row r="280">
      <c r="D280" s="11"/>
      <c r="F280" s="2"/>
    </row>
    <row r="281">
      <c r="D281" s="11"/>
      <c r="F281" s="2"/>
    </row>
    <row r="282">
      <c r="D282" s="11"/>
      <c r="F282" s="2"/>
    </row>
    <row r="283">
      <c r="D283" s="11"/>
      <c r="F283" s="2"/>
    </row>
    <row r="284">
      <c r="D284" s="11"/>
      <c r="F284" s="2"/>
    </row>
    <row r="285">
      <c r="D285" s="11"/>
      <c r="F285" s="2"/>
    </row>
    <row r="286">
      <c r="D286" s="11"/>
      <c r="F286" s="2"/>
    </row>
    <row r="287">
      <c r="D287" s="11"/>
      <c r="F287" s="2"/>
    </row>
    <row r="288">
      <c r="D288" s="11"/>
      <c r="F288" s="2"/>
    </row>
    <row r="289">
      <c r="D289" s="11"/>
      <c r="F289" s="2"/>
    </row>
    <row r="290">
      <c r="D290" s="11"/>
      <c r="F290" s="2"/>
    </row>
    <row r="291">
      <c r="D291" s="11"/>
      <c r="F291" s="2"/>
    </row>
    <row r="292">
      <c r="D292" s="11"/>
      <c r="F292" s="2"/>
    </row>
    <row r="293">
      <c r="D293" s="11"/>
      <c r="F293" s="2"/>
    </row>
    <row r="294">
      <c r="D294" s="11"/>
      <c r="F294" s="2"/>
    </row>
    <row r="295">
      <c r="D295" s="11"/>
      <c r="F295" s="2"/>
    </row>
    <row r="296">
      <c r="D296" s="11"/>
      <c r="F296" s="2"/>
    </row>
    <row r="297">
      <c r="D297" s="11"/>
      <c r="F297" s="2"/>
    </row>
    <row r="298">
      <c r="D298" s="11"/>
      <c r="F298" s="2"/>
    </row>
    <row r="299">
      <c r="D299" s="11"/>
      <c r="F299" s="2"/>
    </row>
    <row r="300">
      <c r="D300" s="11"/>
      <c r="F300" s="2"/>
    </row>
    <row r="301">
      <c r="D301" s="11"/>
      <c r="F301" s="2"/>
    </row>
    <row r="302">
      <c r="D302" s="11"/>
      <c r="F302" s="2"/>
    </row>
    <row r="303">
      <c r="D303" s="11"/>
      <c r="F303" s="2"/>
    </row>
    <row r="304">
      <c r="D304" s="11"/>
      <c r="F304" s="2"/>
    </row>
    <row r="305">
      <c r="D305" s="11"/>
      <c r="F305" s="2"/>
    </row>
    <row r="306">
      <c r="D306" s="11"/>
      <c r="F306" s="2"/>
    </row>
    <row r="307">
      <c r="D307" s="11"/>
      <c r="F307" s="2"/>
    </row>
    <row r="308">
      <c r="D308" s="11"/>
      <c r="F308" s="2"/>
    </row>
    <row r="309">
      <c r="D309" s="11"/>
      <c r="F309" s="2"/>
    </row>
    <row r="310">
      <c r="D310" s="11"/>
      <c r="F310" s="2"/>
    </row>
    <row r="311">
      <c r="D311" s="11"/>
      <c r="F311" s="2"/>
    </row>
    <row r="312">
      <c r="D312" s="11"/>
      <c r="F312" s="2"/>
    </row>
    <row r="313">
      <c r="D313" s="11"/>
      <c r="F313" s="2"/>
    </row>
    <row r="314">
      <c r="D314" s="11"/>
      <c r="F314" s="2"/>
    </row>
    <row r="315">
      <c r="D315" s="11"/>
      <c r="F315" s="2"/>
    </row>
    <row r="316">
      <c r="D316" s="11"/>
      <c r="F316" s="2"/>
    </row>
    <row r="317">
      <c r="D317" s="11"/>
      <c r="F317" s="2"/>
    </row>
    <row r="318">
      <c r="D318" s="11"/>
      <c r="F318" s="2"/>
    </row>
    <row r="319">
      <c r="D319" s="11"/>
      <c r="F319" s="2"/>
    </row>
    <row r="320">
      <c r="D320" s="11"/>
      <c r="F320" s="2"/>
    </row>
    <row r="321">
      <c r="D321" s="11"/>
      <c r="F321" s="2"/>
    </row>
    <row r="322">
      <c r="D322" s="11"/>
      <c r="F322" s="2"/>
    </row>
    <row r="323">
      <c r="D323" s="11"/>
      <c r="F323" s="2"/>
    </row>
    <row r="324">
      <c r="D324" s="11"/>
      <c r="F324" s="2"/>
    </row>
    <row r="325">
      <c r="D325" s="11"/>
      <c r="F325" s="2"/>
    </row>
    <row r="326">
      <c r="D326" s="11"/>
      <c r="F326" s="2"/>
    </row>
    <row r="327">
      <c r="D327" s="11"/>
      <c r="F327" s="2"/>
    </row>
    <row r="328">
      <c r="D328" s="11"/>
      <c r="F328" s="2"/>
    </row>
    <row r="329">
      <c r="D329" s="11"/>
      <c r="F329" s="2"/>
    </row>
    <row r="330">
      <c r="D330" s="11"/>
      <c r="F330" s="2"/>
    </row>
    <row r="331">
      <c r="D331" s="11"/>
      <c r="F331" s="2"/>
    </row>
    <row r="332">
      <c r="D332" s="11"/>
      <c r="F332" s="2"/>
    </row>
    <row r="333">
      <c r="D333" s="11"/>
      <c r="F333" s="2"/>
    </row>
    <row r="334">
      <c r="D334" s="11"/>
      <c r="F334" s="2"/>
    </row>
    <row r="335">
      <c r="D335" s="11"/>
      <c r="F335" s="2"/>
    </row>
    <row r="336">
      <c r="D336" s="11"/>
      <c r="F336" s="2"/>
    </row>
    <row r="337">
      <c r="D337" s="11"/>
      <c r="F337" s="2"/>
    </row>
    <row r="338">
      <c r="D338" s="11"/>
      <c r="F338" s="2"/>
    </row>
    <row r="339">
      <c r="D339" s="11"/>
      <c r="F339" s="2"/>
    </row>
    <row r="340">
      <c r="D340" s="11"/>
      <c r="F340" s="2"/>
    </row>
    <row r="341">
      <c r="D341" s="11"/>
      <c r="F341" s="2"/>
    </row>
    <row r="342">
      <c r="D342" s="11"/>
      <c r="F342" s="2"/>
    </row>
    <row r="343">
      <c r="D343" s="11"/>
      <c r="F343" s="2"/>
    </row>
    <row r="344">
      <c r="D344" s="11"/>
      <c r="F344" s="2"/>
    </row>
    <row r="345">
      <c r="D345" s="11"/>
      <c r="F345" s="2"/>
    </row>
    <row r="346">
      <c r="D346" s="11"/>
      <c r="F346" s="2"/>
    </row>
    <row r="347">
      <c r="D347" s="11"/>
      <c r="F347" s="2"/>
    </row>
    <row r="348">
      <c r="D348" s="11"/>
      <c r="F348" s="2"/>
    </row>
    <row r="349">
      <c r="D349" s="11"/>
      <c r="F349" s="2"/>
    </row>
    <row r="350">
      <c r="D350" s="11"/>
      <c r="F350" s="2"/>
    </row>
    <row r="351">
      <c r="D351" s="11"/>
      <c r="F351" s="2"/>
    </row>
    <row r="352">
      <c r="D352" s="11"/>
      <c r="F352" s="2"/>
    </row>
    <row r="353">
      <c r="D353" s="11"/>
      <c r="F353" s="2"/>
    </row>
    <row r="354">
      <c r="D354" s="11"/>
      <c r="F354" s="2"/>
    </row>
    <row r="355">
      <c r="D355" s="11"/>
      <c r="F355" s="2"/>
    </row>
    <row r="356">
      <c r="D356" s="11"/>
      <c r="F356" s="2"/>
    </row>
    <row r="357">
      <c r="D357" s="11"/>
      <c r="F357" s="2"/>
    </row>
    <row r="358">
      <c r="D358" s="11"/>
      <c r="F358" s="2"/>
    </row>
    <row r="359">
      <c r="D359" s="11"/>
      <c r="F359" s="2"/>
    </row>
    <row r="360">
      <c r="D360" s="11"/>
      <c r="F360" s="2"/>
    </row>
    <row r="361">
      <c r="D361" s="11"/>
      <c r="F361" s="2"/>
    </row>
    <row r="362">
      <c r="A362" s="18"/>
      <c r="B362" s="18"/>
      <c r="C362" s="18"/>
      <c r="D362" s="19"/>
      <c r="F362" s="21"/>
    </row>
    <row r="363">
      <c r="A363" s="18"/>
      <c r="B363" s="18"/>
      <c r="C363" s="18"/>
      <c r="D363" s="19"/>
      <c r="F363" s="21"/>
    </row>
    <row r="364">
      <c r="D364" s="11"/>
      <c r="F364" s="2"/>
    </row>
    <row r="365">
      <c r="D365" s="11"/>
      <c r="F365" s="2"/>
    </row>
    <row r="366">
      <c r="D366" s="11"/>
      <c r="F366" s="2"/>
    </row>
    <row r="367">
      <c r="D367" s="11"/>
      <c r="F367" s="2"/>
    </row>
    <row r="368">
      <c r="D368" s="11"/>
      <c r="F368" s="2"/>
    </row>
    <row r="369">
      <c r="D369" s="11"/>
      <c r="F369" s="2"/>
    </row>
    <row r="370">
      <c r="D370" s="11"/>
      <c r="F370" s="2"/>
    </row>
    <row r="371">
      <c r="D371" s="11"/>
      <c r="F371" s="2"/>
    </row>
    <row r="372">
      <c r="D372" s="11"/>
      <c r="F372" s="2"/>
    </row>
    <row r="373">
      <c r="D373" s="11"/>
      <c r="F373" s="2"/>
    </row>
    <row r="374">
      <c r="D374" s="11"/>
      <c r="F374" s="2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6" max="6" width="20.75"/>
  </cols>
  <sheetData>
    <row r="1">
      <c r="A1" s="4" t="s">
        <v>14</v>
      </c>
      <c r="B1" s="1" t="s">
        <v>2</v>
      </c>
      <c r="C1" s="1" t="s">
        <v>3</v>
      </c>
      <c r="D1" s="22" t="s">
        <v>15</v>
      </c>
      <c r="E1" s="1" t="s">
        <v>25</v>
      </c>
      <c r="F1" s="1" t="s">
        <v>26</v>
      </c>
      <c r="H1" s="12" t="s">
        <v>18</v>
      </c>
      <c r="I1" s="23">
        <v>140000.0</v>
      </c>
    </row>
    <row r="2">
      <c r="A2" s="10">
        <f>200000</f>
        <v>200000</v>
      </c>
      <c r="B2" s="3">
        <f t="shared" ref="B2:B374" si="1">0.064</f>
        <v>0.064</v>
      </c>
      <c r="C2" s="3">
        <f t="shared" ref="C2:C374" si="2">12</f>
        <v>12</v>
      </c>
      <c r="D2" s="11">
        <f>0</f>
        <v>0</v>
      </c>
      <c r="E2" s="3">
        <f>A2*0.3</f>
        <v>60000</v>
      </c>
      <c r="F2" s="2">
        <f>A2-E2</f>
        <v>140000</v>
      </c>
      <c r="H2" s="12" t="s">
        <v>19</v>
      </c>
      <c r="I2" s="12" t="s">
        <v>28</v>
      </c>
    </row>
    <row r="3">
      <c r="A3" s="10"/>
      <c r="B3" s="3">
        <f t="shared" si="1"/>
        <v>0.064</v>
      </c>
      <c r="C3" s="3">
        <f t="shared" si="2"/>
        <v>12</v>
      </c>
      <c r="D3" s="11">
        <f t="shared" ref="D3:D374" si="3">D2+1/C3</f>
        <v>0.08333333333</v>
      </c>
      <c r="E3" s="3">
        <f t="shared" ref="E3:E374" si="4">1000</f>
        <v>1000</v>
      </c>
      <c r="F3" s="2">
        <f t="shared" ref="F3:F374" si="5">F2+F2*(B3/C3)-E3</f>
        <v>139746.6667</v>
      </c>
      <c r="H3" s="12" t="s">
        <v>27</v>
      </c>
      <c r="I3" s="13">
        <f>21.5*1000*12</f>
        <v>258000</v>
      </c>
    </row>
    <row r="4">
      <c r="A4" s="14" t="s">
        <v>22</v>
      </c>
      <c r="B4" s="3">
        <f t="shared" si="1"/>
        <v>0.064</v>
      </c>
      <c r="C4" s="3">
        <f t="shared" si="2"/>
        <v>12</v>
      </c>
      <c r="D4" s="11">
        <f t="shared" si="3"/>
        <v>0.1666666667</v>
      </c>
      <c r="E4" s="3">
        <f t="shared" si="4"/>
        <v>1000</v>
      </c>
      <c r="F4" s="2">
        <f t="shared" si="5"/>
        <v>139491.9822</v>
      </c>
      <c r="H4" s="12" t="s">
        <v>23</v>
      </c>
      <c r="I4" s="13">
        <f>I3-I1</f>
        <v>118000</v>
      </c>
    </row>
    <row r="5">
      <c r="A5" s="15">
        <v>0.3</v>
      </c>
      <c r="B5" s="3">
        <f t="shared" si="1"/>
        <v>0.064</v>
      </c>
      <c r="C5" s="3">
        <f t="shared" si="2"/>
        <v>12</v>
      </c>
      <c r="D5" s="11">
        <f t="shared" si="3"/>
        <v>0.25</v>
      </c>
      <c r="E5" s="3">
        <f t="shared" si="4"/>
        <v>1000</v>
      </c>
      <c r="F5" s="2">
        <f t="shared" si="5"/>
        <v>139235.9395</v>
      </c>
    </row>
    <row r="6">
      <c r="B6" s="3">
        <f t="shared" si="1"/>
        <v>0.064</v>
      </c>
      <c r="C6" s="3">
        <f t="shared" si="2"/>
        <v>12</v>
      </c>
      <c r="D6" s="11">
        <f t="shared" si="3"/>
        <v>0.3333333333</v>
      </c>
      <c r="E6" s="3">
        <f t="shared" si="4"/>
        <v>1000</v>
      </c>
      <c r="F6" s="2">
        <f t="shared" si="5"/>
        <v>138978.5311</v>
      </c>
    </row>
    <row r="7">
      <c r="B7" s="3">
        <f t="shared" si="1"/>
        <v>0.064</v>
      </c>
      <c r="C7" s="3">
        <f t="shared" si="2"/>
        <v>12</v>
      </c>
      <c r="D7" s="11">
        <f t="shared" si="3"/>
        <v>0.4166666667</v>
      </c>
      <c r="E7" s="3">
        <f t="shared" si="4"/>
        <v>1000</v>
      </c>
      <c r="F7" s="2">
        <f t="shared" si="5"/>
        <v>138719.75</v>
      </c>
    </row>
    <row r="8">
      <c r="B8" s="3">
        <f t="shared" si="1"/>
        <v>0.064</v>
      </c>
      <c r="C8" s="3">
        <f t="shared" si="2"/>
        <v>12</v>
      </c>
      <c r="D8" s="11">
        <f t="shared" si="3"/>
        <v>0.5</v>
      </c>
      <c r="E8" s="3">
        <f t="shared" si="4"/>
        <v>1000</v>
      </c>
      <c r="F8" s="2">
        <f t="shared" si="5"/>
        <v>138459.5886</v>
      </c>
    </row>
    <row r="9">
      <c r="B9" s="3">
        <f t="shared" si="1"/>
        <v>0.064</v>
      </c>
      <c r="C9" s="3">
        <f t="shared" si="2"/>
        <v>12</v>
      </c>
      <c r="D9" s="11">
        <f t="shared" si="3"/>
        <v>0.5833333333</v>
      </c>
      <c r="E9" s="3">
        <f t="shared" si="4"/>
        <v>1000</v>
      </c>
      <c r="F9" s="2">
        <f t="shared" si="5"/>
        <v>138198.0398</v>
      </c>
    </row>
    <row r="10">
      <c r="B10" s="3">
        <f t="shared" si="1"/>
        <v>0.064</v>
      </c>
      <c r="C10" s="3">
        <f t="shared" si="2"/>
        <v>12</v>
      </c>
      <c r="D10" s="11">
        <f t="shared" si="3"/>
        <v>0.6666666667</v>
      </c>
      <c r="E10" s="3">
        <f t="shared" si="4"/>
        <v>1000</v>
      </c>
      <c r="F10" s="2">
        <f t="shared" si="5"/>
        <v>137935.096</v>
      </c>
    </row>
    <row r="11">
      <c r="B11" s="3">
        <f t="shared" si="1"/>
        <v>0.064</v>
      </c>
      <c r="C11" s="3">
        <f t="shared" si="2"/>
        <v>12</v>
      </c>
      <c r="D11" s="11">
        <f t="shared" si="3"/>
        <v>0.75</v>
      </c>
      <c r="E11" s="3">
        <f t="shared" si="4"/>
        <v>1000</v>
      </c>
      <c r="F11" s="2">
        <f t="shared" si="5"/>
        <v>137670.7498</v>
      </c>
    </row>
    <row r="12">
      <c r="B12" s="3">
        <f t="shared" si="1"/>
        <v>0.064</v>
      </c>
      <c r="C12" s="3">
        <f t="shared" si="2"/>
        <v>12</v>
      </c>
      <c r="D12" s="11">
        <f t="shared" si="3"/>
        <v>0.8333333333</v>
      </c>
      <c r="E12" s="3">
        <f t="shared" si="4"/>
        <v>1000</v>
      </c>
      <c r="F12" s="2">
        <f t="shared" si="5"/>
        <v>137404.9938</v>
      </c>
    </row>
    <row r="13">
      <c r="B13" s="3">
        <f t="shared" si="1"/>
        <v>0.064</v>
      </c>
      <c r="C13" s="3">
        <f t="shared" si="2"/>
        <v>12</v>
      </c>
      <c r="D13" s="11">
        <f t="shared" si="3"/>
        <v>0.9166666667</v>
      </c>
      <c r="E13" s="3">
        <f t="shared" si="4"/>
        <v>1000</v>
      </c>
      <c r="F13" s="2">
        <f t="shared" si="5"/>
        <v>137137.8205</v>
      </c>
    </row>
    <row r="14">
      <c r="B14" s="3">
        <f t="shared" si="1"/>
        <v>0.064</v>
      </c>
      <c r="C14" s="3">
        <f t="shared" si="2"/>
        <v>12</v>
      </c>
      <c r="D14" s="11">
        <f t="shared" si="3"/>
        <v>1</v>
      </c>
      <c r="E14" s="3">
        <f t="shared" si="4"/>
        <v>1000</v>
      </c>
      <c r="F14" s="2">
        <f t="shared" si="5"/>
        <v>136869.2222</v>
      </c>
    </row>
    <row r="15">
      <c r="B15" s="3">
        <f t="shared" si="1"/>
        <v>0.064</v>
      </c>
      <c r="C15" s="3">
        <f t="shared" si="2"/>
        <v>12</v>
      </c>
      <c r="D15" s="11">
        <f t="shared" si="3"/>
        <v>1.083333333</v>
      </c>
      <c r="E15" s="3">
        <f t="shared" si="4"/>
        <v>1000</v>
      </c>
      <c r="F15" s="2">
        <f t="shared" si="5"/>
        <v>136599.1914</v>
      </c>
    </row>
    <row r="16">
      <c r="B16" s="3">
        <f t="shared" si="1"/>
        <v>0.064</v>
      </c>
      <c r="C16" s="3">
        <f t="shared" si="2"/>
        <v>12</v>
      </c>
      <c r="D16" s="11">
        <f t="shared" si="3"/>
        <v>1.166666667</v>
      </c>
      <c r="E16" s="3">
        <f t="shared" si="4"/>
        <v>1000</v>
      </c>
      <c r="F16" s="2">
        <f t="shared" si="5"/>
        <v>136327.7204</v>
      </c>
    </row>
    <row r="17">
      <c r="B17" s="3">
        <f t="shared" si="1"/>
        <v>0.064</v>
      </c>
      <c r="C17" s="3">
        <f t="shared" si="2"/>
        <v>12</v>
      </c>
      <c r="D17" s="11">
        <f t="shared" si="3"/>
        <v>1.25</v>
      </c>
      <c r="E17" s="3">
        <f t="shared" si="4"/>
        <v>1000</v>
      </c>
      <c r="F17" s="2">
        <f t="shared" si="5"/>
        <v>136054.8016</v>
      </c>
    </row>
    <row r="18">
      <c r="B18" s="3">
        <f t="shared" si="1"/>
        <v>0.064</v>
      </c>
      <c r="C18" s="3">
        <f t="shared" si="2"/>
        <v>12</v>
      </c>
      <c r="D18" s="11">
        <f t="shared" si="3"/>
        <v>1.333333333</v>
      </c>
      <c r="E18" s="3">
        <f t="shared" si="4"/>
        <v>1000</v>
      </c>
      <c r="F18" s="2">
        <f t="shared" si="5"/>
        <v>135780.4272</v>
      </c>
    </row>
    <row r="19">
      <c r="B19" s="3">
        <f t="shared" si="1"/>
        <v>0.064</v>
      </c>
      <c r="C19" s="3">
        <f t="shared" si="2"/>
        <v>12</v>
      </c>
      <c r="D19" s="11">
        <f t="shared" si="3"/>
        <v>1.416666667</v>
      </c>
      <c r="E19" s="3">
        <f t="shared" si="4"/>
        <v>1000</v>
      </c>
      <c r="F19" s="2">
        <f t="shared" si="5"/>
        <v>135504.5894</v>
      </c>
    </row>
    <row r="20">
      <c r="B20" s="3">
        <f t="shared" si="1"/>
        <v>0.064</v>
      </c>
      <c r="C20" s="3">
        <f t="shared" si="2"/>
        <v>12</v>
      </c>
      <c r="D20" s="11">
        <f t="shared" si="3"/>
        <v>1.5</v>
      </c>
      <c r="E20" s="3">
        <f t="shared" si="4"/>
        <v>1000</v>
      </c>
      <c r="F20" s="2">
        <f t="shared" si="5"/>
        <v>135227.2806</v>
      </c>
    </row>
    <row r="21">
      <c r="B21" s="3">
        <f t="shared" si="1"/>
        <v>0.064</v>
      </c>
      <c r="C21" s="3">
        <f t="shared" si="2"/>
        <v>12</v>
      </c>
      <c r="D21" s="11">
        <f t="shared" si="3"/>
        <v>1.583333333</v>
      </c>
      <c r="E21" s="3">
        <f t="shared" si="4"/>
        <v>1000</v>
      </c>
      <c r="F21" s="2">
        <f t="shared" si="5"/>
        <v>134948.4928</v>
      </c>
    </row>
    <row r="22">
      <c r="B22" s="3">
        <f t="shared" si="1"/>
        <v>0.064</v>
      </c>
      <c r="C22" s="3">
        <f t="shared" si="2"/>
        <v>12</v>
      </c>
      <c r="D22" s="11">
        <f t="shared" si="3"/>
        <v>1.666666667</v>
      </c>
      <c r="E22" s="3">
        <f t="shared" si="4"/>
        <v>1000</v>
      </c>
      <c r="F22" s="2">
        <f t="shared" si="5"/>
        <v>134668.218</v>
      </c>
    </row>
    <row r="23">
      <c r="B23" s="3">
        <f t="shared" si="1"/>
        <v>0.064</v>
      </c>
      <c r="C23" s="3">
        <f t="shared" si="2"/>
        <v>12</v>
      </c>
      <c r="D23" s="11">
        <f t="shared" si="3"/>
        <v>1.75</v>
      </c>
      <c r="E23" s="3">
        <f t="shared" si="4"/>
        <v>1000</v>
      </c>
      <c r="F23" s="2">
        <f t="shared" si="5"/>
        <v>134386.4485</v>
      </c>
    </row>
    <row r="24">
      <c r="B24" s="3">
        <f t="shared" si="1"/>
        <v>0.064</v>
      </c>
      <c r="C24" s="3">
        <f t="shared" si="2"/>
        <v>12</v>
      </c>
      <c r="D24" s="11">
        <f t="shared" si="3"/>
        <v>1.833333333</v>
      </c>
      <c r="E24" s="3">
        <f t="shared" si="4"/>
        <v>1000</v>
      </c>
      <c r="F24" s="2">
        <f t="shared" si="5"/>
        <v>134103.1763</v>
      </c>
    </row>
    <row r="25">
      <c r="B25" s="3">
        <f t="shared" si="1"/>
        <v>0.064</v>
      </c>
      <c r="C25" s="3">
        <f t="shared" si="2"/>
        <v>12</v>
      </c>
      <c r="D25" s="11">
        <f t="shared" si="3"/>
        <v>1.916666667</v>
      </c>
      <c r="E25" s="3">
        <f t="shared" si="4"/>
        <v>1000</v>
      </c>
      <c r="F25" s="2">
        <f t="shared" si="5"/>
        <v>133818.3932</v>
      </c>
    </row>
    <row r="26">
      <c r="B26" s="3">
        <f t="shared" si="1"/>
        <v>0.064</v>
      </c>
      <c r="C26" s="3">
        <f t="shared" si="2"/>
        <v>12</v>
      </c>
      <c r="D26" s="11">
        <f t="shared" si="3"/>
        <v>2</v>
      </c>
      <c r="E26" s="3">
        <f t="shared" si="4"/>
        <v>1000</v>
      </c>
      <c r="F26" s="2">
        <f t="shared" si="5"/>
        <v>133532.0913</v>
      </c>
    </row>
    <row r="27">
      <c r="B27" s="3">
        <f t="shared" si="1"/>
        <v>0.064</v>
      </c>
      <c r="C27" s="3">
        <f t="shared" si="2"/>
        <v>12</v>
      </c>
      <c r="D27" s="11">
        <f t="shared" si="3"/>
        <v>2.083333333</v>
      </c>
      <c r="E27" s="3">
        <f t="shared" si="4"/>
        <v>1000</v>
      </c>
      <c r="F27" s="2">
        <f t="shared" si="5"/>
        <v>133244.2625</v>
      </c>
    </row>
    <row r="28">
      <c r="B28" s="3">
        <f t="shared" si="1"/>
        <v>0.064</v>
      </c>
      <c r="C28" s="3">
        <f t="shared" si="2"/>
        <v>12</v>
      </c>
      <c r="D28" s="11">
        <f t="shared" si="3"/>
        <v>2.166666667</v>
      </c>
      <c r="E28" s="3">
        <f t="shared" si="4"/>
        <v>1000</v>
      </c>
      <c r="F28" s="2">
        <f t="shared" si="5"/>
        <v>132954.8985</v>
      </c>
    </row>
    <row r="29">
      <c r="B29" s="3">
        <f t="shared" si="1"/>
        <v>0.064</v>
      </c>
      <c r="C29" s="3">
        <f t="shared" si="2"/>
        <v>12</v>
      </c>
      <c r="D29" s="11">
        <f t="shared" si="3"/>
        <v>2.25</v>
      </c>
      <c r="E29" s="3">
        <f t="shared" si="4"/>
        <v>1000</v>
      </c>
      <c r="F29" s="2">
        <f t="shared" si="5"/>
        <v>132663.9913</v>
      </c>
    </row>
    <row r="30">
      <c r="B30" s="3">
        <f t="shared" si="1"/>
        <v>0.064</v>
      </c>
      <c r="C30" s="3">
        <f t="shared" si="2"/>
        <v>12</v>
      </c>
      <c r="D30" s="11">
        <f t="shared" si="3"/>
        <v>2.333333333</v>
      </c>
      <c r="E30" s="3">
        <f t="shared" si="4"/>
        <v>1000</v>
      </c>
      <c r="F30" s="2">
        <f t="shared" si="5"/>
        <v>132371.5326</v>
      </c>
    </row>
    <row r="31">
      <c r="B31" s="3">
        <f t="shared" si="1"/>
        <v>0.064</v>
      </c>
      <c r="C31" s="3">
        <f t="shared" si="2"/>
        <v>12</v>
      </c>
      <c r="D31" s="11">
        <f t="shared" si="3"/>
        <v>2.416666667</v>
      </c>
      <c r="E31" s="3">
        <f t="shared" si="4"/>
        <v>1000</v>
      </c>
      <c r="F31" s="2">
        <f t="shared" si="5"/>
        <v>132077.5141</v>
      </c>
    </row>
    <row r="32">
      <c r="B32" s="3">
        <f t="shared" si="1"/>
        <v>0.064</v>
      </c>
      <c r="C32" s="3">
        <f t="shared" si="2"/>
        <v>12</v>
      </c>
      <c r="D32" s="11">
        <f t="shared" si="3"/>
        <v>2.5</v>
      </c>
      <c r="E32" s="3">
        <f t="shared" si="4"/>
        <v>1000</v>
      </c>
      <c r="F32" s="2">
        <f t="shared" si="5"/>
        <v>131781.9275</v>
      </c>
    </row>
    <row r="33">
      <c r="B33" s="3">
        <f t="shared" si="1"/>
        <v>0.064</v>
      </c>
      <c r="C33" s="3">
        <f t="shared" si="2"/>
        <v>12</v>
      </c>
      <c r="D33" s="11">
        <f t="shared" si="3"/>
        <v>2.583333333</v>
      </c>
      <c r="E33" s="3">
        <f t="shared" si="4"/>
        <v>1000</v>
      </c>
      <c r="F33" s="2">
        <f t="shared" si="5"/>
        <v>131484.7645</v>
      </c>
    </row>
    <row r="34">
      <c r="B34" s="3">
        <f t="shared" si="1"/>
        <v>0.064</v>
      </c>
      <c r="C34" s="3">
        <f t="shared" si="2"/>
        <v>12</v>
      </c>
      <c r="D34" s="11">
        <f t="shared" si="3"/>
        <v>2.666666667</v>
      </c>
      <c r="E34" s="3">
        <f t="shared" si="4"/>
        <v>1000</v>
      </c>
      <c r="F34" s="2">
        <f t="shared" si="5"/>
        <v>131186.0165</v>
      </c>
    </row>
    <row r="35">
      <c r="B35" s="3">
        <f t="shared" si="1"/>
        <v>0.064</v>
      </c>
      <c r="C35" s="3">
        <f t="shared" si="2"/>
        <v>12</v>
      </c>
      <c r="D35" s="11">
        <f t="shared" si="3"/>
        <v>2.75</v>
      </c>
      <c r="E35" s="3">
        <f t="shared" si="4"/>
        <v>1000</v>
      </c>
      <c r="F35" s="2">
        <f t="shared" si="5"/>
        <v>130885.6753</v>
      </c>
    </row>
    <row r="36">
      <c r="B36" s="3">
        <f t="shared" si="1"/>
        <v>0.064</v>
      </c>
      <c r="C36" s="3">
        <f t="shared" si="2"/>
        <v>12</v>
      </c>
      <c r="D36" s="11">
        <f t="shared" si="3"/>
        <v>2.833333333</v>
      </c>
      <c r="E36" s="3">
        <f t="shared" si="4"/>
        <v>1000</v>
      </c>
      <c r="F36" s="2">
        <f t="shared" si="5"/>
        <v>130583.7322</v>
      </c>
    </row>
    <row r="37">
      <c r="B37" s="3">
        <f t="shared" si="1"/>
        <v>0.064</v>
      </c>
      <c r="C37" s="3">
        <f t="shared" si="2"/>
        <v>12</v>
      </c>
      <c r="D37" s="11">
        <f t="shared" si="3"/>
        <v>2.916666667</v>
      </c>
      <c r="E37" s="3">
        <f t="shared" si="4"/>
        <v>1000</v>
      </c>
      <c r="F37" s="2">
        <f t="shared" si="5"/>
        <v>130280.1788</v>
      </c>
    </row>
    <row r="38">
      <c r="B38" s="3">
        <f t="shared" si="1"/>
        <v>0.064</v>
      </c>
      <c r="C38" s="3">
        <f t="shared" si="2"/>
        <v>12</v>
      </c>
      <c r="D38" s="11">
        <f t="shared" si="3"/>
        <v>3</v>
      </c>
      <c r="E38" s="3">
        <f t="shared" si="4"/>
        <v>1000</v>
      </c>
      <c r="F38" s="2">
        <f t="shared" si="5"/>
        <v>129975.0064</v>
      </c>
    </row>
    <row r="39">
      <c r="B39" s="3">
        <f t="shared" si="1"/>
        <v>0.064</v>
      </c>
      <c r="C39" s="3">
        <f t="shared" si="2"/>
        <v>12</v>
      </c>
      <c r="D39" s="11">
        <f t="shared" si="3"/>
        <v>3.083333333</v>
      </c>
      <c r="E39" s="3">
        <f t="shared" si="4"/>
        <v>1000</v>
      </c>
      <c r="F39" s="2">
        <f t="shared" si="5"/>
        <v>129668.2065</v>
      </c>
    </row>
    <row r="40">
      <c r="B40" s="3">
        <f t="shared" si="1"/>
        <v>0.064</v>
      </c>
      <c r="C40" s="3">
        <f t="shared" si="2"/>
        <v>12</v>
      </c>
      <c r="D40" s="11">
        <f t="shared" si="3"/>
        <v>3.166666667</v>
      </c>
      <c r="E40" s="3">
        <f t="shared" si="4"/>
        <v>1000</v>
      </c>
      <c r="F40" s="2">
        <f t="shared" si="5"/>
        <v>129359.7702</v>
      </c>
    </row>
    <row r="41">
      <c r="B41" s="3">
        <f t="shared" si="1"/>
        <v>0.064</v>
      </c>
      <c r="C41" s="3">
        <f t="shared" si="2"/>
        <v>12</v>
      </c>
      <c r="D41" s="11">
        <f t="shared" si="3"/>
        <v>3.25</v>
      </c>
      <c r="E41" s="3">
        <f t="shared" si="4"/>
        <v>1000</v>
      </c>
      <c r="F41" s="2">
        <f t="shared" si="5"/>
        <v>129049.689</v>
      </c>
    </row>
    <row r="42">
      <c r="B42" s="3">
        <f t="shared" si="1"/>
        <v>0.064</v>
      </c>
      <c r="C42" s="3">
        <f t="shared" si="2"/>
        <v>12</v>
      </c>
      <c r="D42" s="11">
        <f t="shared" si="3"/>
        <v>3.333333333</v>
      </c>
      <c r="E42" s="3">
        <f t="shared" si="4"/>
        <v>1000</v>
      </c>
      <c r="F42" s="2">
        <f t="shared" si="5"/>
        <v>128737.954</v>
      </c>
    </row>
    <row r="43">
      <c r="B43" s="3">
        <f t="shared" si="1"/>
        <v>0.064</v>
      </c>
      <c r="C43" s="3">
        <f t="shared" si="2"/>
        <v>12</v>
      </c>
      <c r="D43" s="11">
        <f t="shared" si="3"/>
        <v>3.416666667</v>
      </c>
      <c r="E43" s="3">
        <f t="shared" si="4"/>
        <v>1000</v>
      </c>
      <c r="F43" s="2">
        <f t="shared" si="5"/>
        <v>128424.5564</v>
      </c>
    </row>
    <row r="44">
      <c r="B44" s="3">
        <f t="shared" si="1"/>
        <v>0.064</v>
      </c>
      <c r="C44" s="3">
        <f t="shared" si="2"/>
        <v>12</v>
      </c>
      <c r="D44" s="11">
        <f t="shared" si="3"/>
        <v>3.5</v>
      </c>
      <c r="E44" s="3">
        <f t="shared" si="4"/>
        <v>1000</v>
      </c>
      <c r="F44" s="2">
        <f t="shared" si="5"/>
        <v>128109.4874</v>
      </c>
    </row>
    <row r="45">
      <c r="B45" s="3">
        <f t="shared" si="1"/>
        <v>0.064</v>
      </c>
      <c r="C45" s="3">
        <f t="shared" si="2"/>
        <v>12</v>
      </c>
      <c r="D45" s="11">
        <f t="shared" si="3"/>
        <v>3.583333333</v>
      </c>
      <c r="E45" s="3">
        <f t="shared" si="4"/>
        <v>1000</v>
      </c>
      <c r="F45" s="2">
        <f t="shared" si="5"/>
        <v>127792.738</v>
      </c>
    </row>
    <row r="46">
      <c r="B46" s="3">
        <f t="shared" si="1"/>
        <v>0.064</v>
      </c>
      <c r="C46" s="3">
        <f t="shared" si="2"/>
        <v>12</v>
      </c>
      <c r="D46" s="11">
        <f t="shared" si="3"/>
        <v>3.666666667</v>
      </c>
      <c r="E46" s="3">
        <f t="shared" si="4"/>
        <v>1000</v>
      </c>
      <c r="F46" s="2">
        <f t="shared" si="5"/>
        <v>127474.2993</v>
      </c>
    </row>
    <row r="47">
      <c r="B47" s="3">
        <f t="shared" si="1"/>
        <v>0.064</v>
      </c>
      <c r="C47" s="3">
        <f t="shared" si="2"/>
        <v>12</v>
      </c>
      <c r="D47" s="11">
        <f t="shared" si="3"/>
        <v>3.75</v>
      </c>
      <c r="E47" s="3">
        <f t="shared" si="4"/>
        <v>1000</v>
      </c>
      <c r="F47" s="2">
        <f t="shared" si="5"/>
        <v>127154.1622</v>
      </c>
    </row>
    <row r="48">
      <c r="B48" s="3">
        <f t="shared" si="1"/>
        <v>0.064</v>
      </c>
      <c r="C48" s="3">
        <f t="shared" si="2"/>
        <v>12</v>
      </c>
      <c r="D48" s="11">
        <f t="shared" si="3"/>
        <v>3.833333333</v>
      </c>
      <c r="E48" s="3">
        <f t="shared" si="4"/>
        <v>1000</v>
      </c>
      <c r="F48" s="2">
        <f t="shared" si="5"/>
        <v>126832.3177</v>
      </c>
    </row>
    <row r="49">
      <c r="B49" s="3">
        <f t="shared" si="1"/>
        <v>0.064</v>
      </c>
      <c r="C49" s="3">
        <f t="shared" si="2"/>
        <v>12</v>
      </c>
      <c r="D49" s="11">
        <f t="shared" si="3"/>
        <v>3.916666667</v>
      </c>
      <c r="E49" s="3">
        <f t="shared" si="4"/>
        <v>1000</v>
      </c>
      <c r="F49" s="2">
        <f t="shared" si="5"/>
        <v>126508.7568</v>
      </c>
    </row>
    <row r="50">
      <c r="B50" s="3">
        <f t="shared" si="1"/>
        <v>0.064</v>
      </c>
      <c r="C50" s="3">
        <f t="shared" si="2"/>
        <v>12</v>
      </c>
      <c r="D50" s="11">
        <f t="shared" si="3"/>
        <v>4</v>
      </c>
      <c r="E50" s="3">
        <f t="shared" si="4"/>
        <v>1000</v>
      </c>
      <c r="F50" s="2">
        <f t="shared" si="5"/>
        <v>126183.4701</v>
      </c>
    </row>
    <row r="51">
      <c r="B51" s="3">
        <f t="shared" si="1"/>
        <v>0.064</v>
      </c>
      <c r="C51" s="3">
        <f t="shared" si="2"/>
        <v>12</v>
      </c>
      <c r="D51" s="11">
        <f t="shared" si="3"/>
        <v>4.083333333</v>
      </c>
      <c r="E51" s="3">
        <f t="shared" si="4"/>
        <v>1000</v>
      </c>
      <c r="F51" s="2">
        <f t="shared" si="5"/>
        <v>125856.4486</v>
      </c>
    </row>
    <row r="52">
      <c r="B52" s="3">
        <f t="shared" si="1"/>
        <v>0.064</v>
      </c>
      <c r="C52" s="3">
        <f t="shared" si="2"/>
        <v>12</v>
      </c>
      <c r="D52" s="11">
        <f t="shared" si="3"/>
        <v>4.166666667</v>
      </c>
      <c r="E52" s="3">
        <f t="shared" si="4"/>
        <v>1000</v>
      </c>
      <c r="F52" s="2">
        <f t="shared" si="5"/>
        <v>125527.683</v>
      </c>
    </row>
    <row r="53">
      <c r="B53" s="3">
        <f t="shared" si="1"/>
        <v>0.064</v>
      </c>
      <c r="C53" s="3">
        <f t="shared" si="2"/>
        <v>12</v>
      </c>
      <c r="D53" s="11">
        <f t="shared" si="3"/>
        <v>4.25</v>
      </c>
      <c r="E53" s="3">
        <f t="shared" si="4"/>
        <v>1000</v>
      </c>
      <c r="F53" s="2">
        <f t="shared" si="5"/>
        <v>125197.164</v>
      </c>
    </row>
    <row r="54">
      <c r="B54" s="3">
        <f t="shared" si="1"/>
        <v>0.064</v>
      </c>
      <c r="C54" s="3">
        <f t="shared" si="2"/>
        <v>12</v>
      </c>
      <c r="D54" s="11">
        <f t="shared" si="3"/>
        <v>4.333333333</v>
      </c>
      <c r="E54" s="3">
        <f t="shared" si="4"/>
        <v>1000</v>
      </c>
      <c r="F54" s="2">
        <f t="shared" si="5"/>
        <v>124864.8822</v>
      </c>
    </row>
    <row r="55">
      <c r="B55" s="3">
        <f t="shared" si="1"/>
        <v>0.064</v>
      </c>
      <c r="C55" s="3">
        <f t="shared" si="2"/>
        <v>12</v>
      </c>
      <c r="D55" s="11">
        <f t="shared" si="3"/>
        <v>4.416666667</v>
      </c>
      <c r="E55" s="3">
        <f t="shared" si="4"/>
        <v>1000</v>
      </c>
      <c r="F55" s="2">
        <f t="shared" si="5"/>
        <v>124530.8282</v>
      </c>
    </row>
    <row r="56">
      <c r="B56" s="3">
        <f t="shared" si="1"/>
        <v>0.064</v>
      </c>
      <c r="C56" s="3">
        <f t="shared" si="2"/>
        <v>12</v>
      </c>
      <c r="D56" s="11">
        <f t="shared" si="3"/>
        <v>4.5</v>
      </c>
      <c r="E56" s="3">
        <f t="shared" si="4"/>
        <v>1000</v>
      </c>
      <c r="F56" s="2">
        <f t="shared" si="5"/>
        <v>124194.9927</v>
      </c>
    </row>
    <row r="57">
      <c r="B57" s="3">
        <f t="shared" si="1"/>
        <v>0.064</v>
      </c>
      <c r="C57" s="3">
        <f t="shared" si="2"/>
        <v>12</v>
      </c>
      <c r="D57" s="11">
        <f t="shared" si="3"/>
        <v>4.583333333</v>
      </c>
      <c r="E57" s="3">
        <f t="shared" si="4"/>
        <v>1000</v>
      </c>
      <c r="F57" s="2">
        <f t="shared" si="5"/>
        <v>123857.366</v>
      </c>
    </row>
    <row r="58">
      <c r="B58" s="3">
        <f t="shared" si="1"/>
        <v>0.064</v>
      </c>
      <c r="C58" s="3">
        <f t="shared" si="2"/>
        <v>12</v>
      </c>
      <c r="D58" s="11">
        <f t="shared" si="3"/>
        <v>4.666666667</v>
      </c>
      <c r="E58" s="3">
        <f t="shared" si="4"/>
        <v>1000</v>
      </c>
      <c r="F58" s="2">
        <f t="shared" si="5"/>
        <v>123517.9386</v>
      </c>
    </row>
    <row r="59">
      <c r="B59" s="3">
        <f t="shared" si="1"/>
        <v>0.064</v>
      </c>
      <c r="C59" s="3">
        <f t="shared" si="2"/>
        <v>12</v>
      </c>
      <c r="D59" s="11">
        <f t="shared" si="3"/>
        <v>4.75</v>
      </c>
      <c r="E59" s="3">
        <f t="shared" si="4"/>
        <v>1000</v>
      </c>
      <c r="F59" s="2">
        <f t="shared" si="5"/>
        <v>123176.7009</v>
      </c>
    </row>
    <row r="60">
      <c r="B60" s="3">
        <f t="shared" si="1"/>
        <v>0.064</v>
      </c>
      <c r="C60" s="3">
        <f t="shared" si="2"/>
        <v>12</v>
      </c>
      <c r="D60" s="11">
        <f t="shared" si="3"/>
        <v>4.833333333</v>
      </c>
      <c r="E60" s="3">
        <f t="shared" si="4"/>
        <v>1000</v>
      </c>
      <c r="F60" s="2">
        <f t="shared" si="5"/>
        <v>122833.6433</v>
      </c>
    </row>
    <row r="61">
      <c r="B61" s="3">
        <f t="shared" si="1"/>
        <v>0.064</v>
      </c>
      <c r="C61" s="3">
        <f t="shared" si="2"/>
        <v>12</v>
      </c>
      <c r="D61" s="11">
        <f t="shared" si="3"/>
        <v>4.916666667</v>
      </c>
      <c r="E61" s="3">
        <f t="shared" si="4"/>
        <v>1000</v>
      </c>
      <c r="F61" s="2">
        <f t="shared" si="5"/>
        <v>122488.7561</v>
      </c>
    </row>
    <row r="62">
      <c r="B62" s="3">
        <f t="shared" si="1"/>
        <v>0.064</v>
      </c>
      <c r="C62" s="3">
        <f t="shared" si="2"/>
        <v>12</v>
      </c>
      <c r="D62" s="11">
        <f t="shared" si="3"/>
        <v>5</v>
      </c>
      <c r="E62" s="3">
        <f t="shared" si="4"/>
        <v>1000</v>
      </c>
      <c r="F62" s="2">
        <f t="shared" si="5"/>
        <v>122142.0295</v>
      </c>
    </row>
    <row r="63">
      <c r="B63" s="3">
        <f t="shared" si="1"/>
        <v>0.064</v>
      </c>
      <c r="C63" s="3">
        <f t="shared" si="2"/>
        <v>12</v>
      </c>
      <c r="D63" s="11">
        <f t="shared" si="3"/>
        <v>5.083333333</v>
      </c>
      <c r="E63" s="3">
        <f t="shared" si="4"/>
        <v>1000</v>
      </c>
      <c r="F63" s="2">
        <f t="shared" si="5"/>
        <v>121793.4536</v>
      </c>
    </row>
    <row r="64">
      <c r="B64" s="3">
        <f t="shared" si="1"/>
        <v>0.064</v>
      </c>
      <c r="C64" s="3">
        <f t="shared" si="2"/>
        <v>12</v>
      </c>
      <c r="D64" s="11">
        <f t="shared" si="3"/>
        <v>5.166666667</v>
      </c>
      <c r="E64" s="3">
        <f t="shared" si="4"/>
        <v>1000</v>
      </c>
      <c r="F64" s="2">
        <f t="shared" si="5"/>
        <v>121443.0187</v>
      </c>
    </row>
    <row r="65">
      <c r="B65" s="3">
        <f t="shared" si="1"/>
        <v>0.064</v>
      </c>
      <c r="C65" s="3">
        <f t="shared" si="2"/>
        <v>12</v>
      </c>
      <c r="D65" s="11">
        <f t="shared" si="3"/>
        <v>5.25</v>
      </c>
      <c r="E65" s="3">
        <f t="shared" si="4"/>
        <v>1000</v>
      </c>
      <c r="F65" s="2">
        <f t="shared" si="5"/>
        <v>121090.7148</v>
      </c>
    </row>
    <row r="66">
      <c r="B66" s="3">
        <f t="shared" si="1"/>
        <v>0.064</v>
      </c>
      <c r="C66" s="3">
        <f t="shared" si="2"/>
        <v>12</v>
      </c>
      <c r="D66" s="11">
        <f t="shared" si="3"/>
        <v>5.333333333</v>
      </c>
      <c r="E66" s="3">
        <f t="shared" si="4"/>
        <v>1000</v>
      </c>
      <c r="F66" s="2">
        <f t="shared" si="5"/>
        <v>120736.5319</v>
      </c>
    </row>
    <row r="67">
      <c r="B67" s="3">
        <f t="shared" si="1"/>
        <v>0.064</v>
      </c>
      <c r="C67" s="3">
        <f t="shared" si="2"/>
        <v>12</v>
      </c>
      <c r="D67" s="11">
        <f t="shared" si="3"/>
        <v>5.416666667</v>
      </c>
      <c r="E67" s="3">
        <f t="shared" si="4"/>
        <v>1000</v>
      </c>
      <c r="F67" s="2">
        <f t="shared" si="5"/>
        <v>120380.4601</v>
      </c>
    </row>
    <row r="68">
      <c r="B68" s="3">
        <f t="shared" si="1"/>
        <v>0.064</v>
      </c>
      <c r="C68" s="3">
        <f t="shared" si="2"/>
        <v>12</v>
      </c>
      <c r="D68" s="11">
        <f t="shared" si="3"/>
        <v>5.5</v>
      </c>
      <c r="E68" s="3">
        <f t="shared" si="4"/>
        <v>1000</v>
      </c>
      <c r="F68" s="2">
        <f t="shared" si="5"/>
        <v>120022.4892</v>
      </c>
    </row>
    <row r="69">
      <c r="B69" s="3">
        <f t="shared" si="1"/>
        <v>0.064</v>
      </c>
      <c r="C69" s="3">
        <f t="shared" si="2"/>
        <v>12</v>
      </c>
      <c r="D69" s="11">
        <f t="shared" si="3"/>
        <v>5.583333333</v>
      </c>
      <c r="E69" s="3">
        <f t="shared" si="4"/>
        <v>1000</v>
      </c>
      <c r="F69" s="2">
        <f t="shared" si="5"/>
        <v>119662.6092</v>
      </c>
    </row>
    <row r="70">
      <c r="B70" s="3">
        <f t="shared" si="1"/>
        <v>0.064</v>
      </c>
      <c r="C70" s="3">
        <f t="shared" si="2"/>
        <v>12</v>
      </c>
      <c r="D70" s="11">
        <f t="shared" si="3"/>
        <v>5.666666667</v>
      </c>
      <c r="E70" s="3">
        <f t="shared" si="4"/>
        <v>1000</v>
      </c>
      <c r="F70" s="2">
        <f t="shared" si="5"/>
        <v>119300.8098</v>
      </c>
    </row>
    <row r="71">
      <c r="B71" s="3">
        <f t="shared" si="1"/>
        <v>0.064</v>
      </c>
      <c r="C71" s="3">
        <f t="shared" si="2"/>
        <v>12</v>
      </c>
      <c r="D71" s="11">
        <f t="shared" si="3"/>
        <v>5.75</v>
      </c>
      <c r="E71" s="3">
        <f t="shared" si="4"/>
        <v>1000</v>
      </c>
      <c r="F71" s="2">
        <f t="shared" si="5"/>
        <v>118937.0807</v>
      </c>
    </row>
    <row r="72">
      <c r="B72" s="3">
        <f t="shared" si="1"/>
        <v>0.064</v>
      </c>
      <c r="C72" s="3">
        <f t="shared" si="2"/>
        <v>12</v>
      </c>
      <c r="D72" s="11">
        <f t="shared" si="3"/>
        <v>5.833333333</v>
      </c>
      <c r="E72" s="3">
        <f t="shared" si="4"/>
        <v>1000</v>
      </c>
      <c r="F72" s="2">
        <f t="shared" si="5"/>
        <v>118571.4118</v>
      </c>
    </row>
    <row r="73">
      <c r="B73" s="3">
        <f t="shared" si="1"/>
        <v>0.064</v>
      </c>
      <c r="C73" s="3">
        <f t="shared" si="2"/>
        <v>12</v>
      </c>
      <c r="D73" s="11">
        <f t="shared" si="3"/>
        <v>5.916666667</v>
      </c>
      <c r="E73" s="3">
        <f t="shared" si="4"/>
        <v>1000</v>
      </c>
      <c r="F73" s="2">
        <f t="shared" si="5"/>
        <v>118203.7927</v>
      </c>
    </row>
    <row r="74">
      <c r="B74" s="3">
        <f t="shared" si="1"/>
        <v>0.064</v>
      </c>
      <c r="C74" s="3">
        <f t="shared" si="2"/>
        <v>12</v>
      </c>
      <c r="D74" s="11">
        <f t="shared" si="3"/>
        <v>6</v>
      </c>
      <c r="E74" s="3">
        <f t="shared" si="4"/>
        <v>1000</v>
      </c>
      <c r="F74" s="2">
        <f t="shared" si="5"/>
        <v>117834.2129</v>
      </c>
    </row>
    <row r="75">
      <c r="B75" s="3">
        <f t="shared" si="1"/>
        <v>0.064</v>
      </c>
      <c r="C75" s="3">
        <f t="shared" si="2"/>
        <v>12</v>
      </c>
      <c r="D75" s="11">
        <f t="shared" si="3"/>
        <v>6.083333333</v>
      </c>
      <c r="E75" s="3">
        <f t="shared" si="4"/>
        <v>1000</v>
      </c>
      <c r="F75" s="2">
        <f t="shared" si="5"/>
        <v>117462.6621</v>
      </c>
    </row>
    <row r="76">
      <c r="B76" s="3">
        <f t="shared" si="1"/>
        <v>0.064</v>
      </c>
      <c r="C76" s="3">
        <f t="shared" si="2"/>
        <v>12</v>
      </c>
      <c r="D76" s="11">
        <f t="shared" si="3"/>
        <v>6.166666667</v>
      </c>
      <c r="E76" s="3">
        <f t="shared" si="4"/>
        <v>1000</v>
      </c>
      <c r="F76" s="2">
        <f t="shared" si="5"/>
        <v>117089.1296</v>
      </c>
    </row>
    <row r="77">
      <c r="B77" s="3">
        <f t="shared" si="1"/>
        <v>0.064</v>
      </c>
      <c r="C77" s="3">
        <f t="shared" si="2"/>
        <v>12</v>
      </c>
      <c r="D77" s="11">
        <f t="shared" si="3"/>
        <v>6.25</v>
      </c>
      <c r="E77" s="3">
        <f t="shared" si="4"/>
        <v>1000</v>
      </c>
      <c r="F77" s="2">
        <f t="shared" si="5"/>
        <v>116713.605</v>
      </c>
    </row>
    <row r="78">
      <c r="B78" s="3">
        <f t="shared" si="1"/>
        <v>0.064</v>
      </c>
      <c r="C78" s="3">
        <f t="shared" si="2"/>
        <v>12</v>
      </c>
      <c r="D78" s="11">
        <f t="shared" si="3"/>
        <v>6.333333333</v>
      </c>
      <c r="E78" s="3">
        <f t="shared" si="4"/>
        <v>1000</v>
      </c>
      <c r="F78" s="2">
        <f t="shared" si="5"/>
        <v>116336.0775</v>
      </c>
    </row>
    <row r="79">
      <c r="B79" s="3">
        <f t="shared" si="1"/>
        <v>0.064</v>
      </c>
      <c r="C79" s="3">
        <f t="shared" si="2"/>
        <v>12</v>
      </c>
      <c r="D79" s="11">
        <f t="shared" si="3"/>
        <v>6.416666667</v>
      </c>
      <c r="E79" s="3">
        <f t="shared" si="4"/>
        <v>1000</v>
      </c>
      <c r="F79" s="2">
        <f t="shared" si="5"/>
        <v>115956.5366</v>
      </c>
    </row>
    <row r="80">
      <c r="B80" s="3">
        <f t="shared" si="1"/>
        <v>0.064</v>
      </c>
      <c r="C80" s="3">
        <f t="shared" si="2"/>
        <v>12</v>
      </c>
      <c r="D80" s="11">
        <f t="shared" si="3"/>
        <v>6.5</v>
      </c>
      <c r="E80" s="3">
        <f t="shared" si="4"/>
        <v>1000</v>
      </c>
      <c r="F80" s="2">
        <f t="shared" si="5"/>
        <v>115574.9715</v>
      </c>
    </row>
    <row r="81">
      <c r="B81" s="3">
        <f t="shared" si="1"/>
        <v>0.064</v>
      </c>
      <c r="C81" s="3">
        <f t="shared" si="2"/>
        <v>12</v>
      </c>
      <c r="D81" s="11">
        <f t="shared" si="3"/>
        <v>6.583333333</v>
      </c>
      <c r="E81" s="3">
        <f t="shared" si="4"/>
        <v>1000</v>
      </c>
      <c r="F81" s="2">
        <f t="shared" si="5"/>
        <v>115191.3713</v>
      </c>
    </row>
    <row r="82">
      <c r="B82" s="3">
        <f t="shared" si="1"/>
        <v>0.064</v>
      </c>
      <c r="C82" s="3">
        <f t="shared" si="2"/>
        <v>12</v>
      </c>
      <c r="D82" s="11">
        <f t="shared" si="3"/>
        <v>6.666666667</v>
      </c>
      <c r="E82" s="3">
        <f t="shared" si="4"/>
        <v>1000</v>
      </c>
      <c r="F82" s="2">
        <f t="shared" si="5"/>
        <v>114805.7253</v>
      </c>
    </row>
    <row r="83">
      <c r="B83" s="3">
        <f t="shared" si="1"/>
        <v>0.064</v>
      </c>
      <c r="C83" s="3">
        <f t="shared" si="2"/>
        <v>12</v>
      </c>
      <c r="D83" s="11">
        <f t="shared" si="3"/>
        <v>6.75</v>
      </c>
      <c r="E83" s="3">
        <f t="shared" si="4"/>
        <v>1000</v>
      </c>
      <c r="F83" s="2">
        <f t="shared" si="5"/>
        <v>114418.0225</v>
      </c>
    </row>
    <row r="84">
      <c r="B84" s="3">
        <f t="shared" si="1"/>
        <v>0.064</v>
      </c>
      <c r="C84" s="3">
        <f t="shared" si="2"/>
        <v>12</v>
      </c>
      <c r="D84" s="11">
        <f t="shared" si="3"/>
        <v>6.833333333</v>
      </c>
      <c r="E84" s="3">
        <f t="shared" si="4"/>
        <v>1000</v>
      </c>
      <c r="F84" s="2">
        <f t="shared" si="5"/>
        <v>114028.2519</v>
      </c>
    </row>
    <row r="85">
      <c r="B85" s="3">
        <f t="shared" si="1"/>
        <v>0.064</v>
      </c>
      <c r="C85" s="3">
        <f t="shared" si="2"/>
        <v>12</v>
      </c>
      <c r="D85" s="11">
        <f t="shared" si="3"/>
        <v>6.916666667</v>
      </c>
      <c r="E85" s="3">
        <f t="shared" si="4"/>
        <v>1000</v>
      </c>
      <c r="F85" s="2">
        <f t="shared" si="5"/>
        <v>113636.4026</v>
      </c>
    </row>
    <row r="86">
      <c r="B86" s="3">
        <f t="shared" si="1"/>
        <v>0.064</v>
      </c>
      <c r="C86" s="3">
        <f t="shared" si="2"/>
        <v>12</v>
      </c>
      <c r="D86" s="11">
        <f t="shared" si="3"/>
        <v>7</v>
      </c>
      <c r="E86" s="3">
        <f t="shared" si="4"/>
        <v>1000</v>
      </c>
      <c r="F86" s="2">
        <f t="shared" si="5"/>
        <v>113242.4634</v>
      </c>
    </row>
    <row r="87">
      <c r="B87" s="3">
        <f t="shared" si="1"/>
        <v>0.064</v>
      </c>
      <c r="C87" s="3">
        <f t="shared" si="2"/>
        <v>12</v>
      </c>
      <c r="D87" s="11">
        <f t="shared" si="3"/>
        <v>7.083333333</v>
      </c>
      <c r="E87" s="3">
        <f t="shared" si="4"/>
        <v>1000</v>
      </c>
      <c r="F87" s="2">
        <f t="shared" si="5"/>
        <v>112846.4232</v>
      </c>
    </row>
    <row r="88">
      <c r="B88" s="3">
        <f t="shared" si="1"/>
        <v>0.064</v>
      </c>
      <c r="C88" s="3">
        <f t="shared" si="2"/>
        <v>12</v>
      </c>
      <c r="D88" s="11">
        <f t="shared" si="3"/>
        <v>7.166666667</v>
      </c>
      <c r="E88" s="3">
        <f t="shared" si="4"/>
        <v>1000</v>
      </c>
      <c r="F88" s="2">
        <f t="shared" si="5"/>
        <v>112448.2708</v>
      </c>
    </row>
    <row r="89">
      <c r="B89" s="3">
        <f t="shared" si="1"/>
        <v>0.064</v>
      </c>
      <c r="C89" s="3">
        <f t="shared" si="2"/>
        <v>12</v>
      </c>
      <c r="D89" s="11">
        <f t="shared" si="3"/>
        <v>7.25</v>
      </c>
      <c r="E89" s="3">
        <f t="shared" si="4"/>
        <v>1000</v>
      </c>
      <c r="F89" s="2">
        <f t="shared" si="5"/>
        <v>112047.9949</v>
      </c>
    </row>
    <row r="90">
      <c r="B90" s="3">
        <f t="shared" si="1"/>
        <v>0.064</v>
      </c>
      <c r="C90" s="3">
        <f t="shared" si="2"/>
        <v>12</v>
      </c>
      <c r="D90" s="11">
        <f t="shared" si="3"/>
        <v>7.333333333</v>
      </c>
      <c r="E90" s="3">
        <f t="shared" si="4"/>
        <v>1000</v>
      </c>
      <c r="F90" s="2">
        <f t="shared" si="5"/>
        <v>111645.5842</v>
      </c>
    </row>
    <row r="91">
      <c r="B91" s="3">
        <f t="shared" si="1"/>
        <v>0.064</v>
      </c>
      <c r="C91" s="3">
        <f t="shared" si="2"/>
        <v>12</v>
      </c>
      <c r="D91" s="11">
        <f t="shared" si="3"/>
        <v>7.416666667</v>
      </c>
      <c r="E91" s="3">
        <f t="shared" si="4"/>
        <v>1000</v>
      </c>
      <c r="F91" s="2">
        <f t="shared" si="5"/>
        <v>111241.0274</v>
      </c>
    </row>
    <row r="92">
      <c r="B92" s="3">
        <f t="shared" si="1"/>
        <v>0.064</v>
      </c>
      <c r="C92" s="3">
        <f t="shared" si="2"/>
        <v>12</v>
      </c>
      <c r="D92" s="11">
        <f t="shared" si="3"/>
        <v>7.5</v>
      </c>
      <c r="E92" s="3">
        <f t="shared" si="4"/>
        <v>1000</v>
      </c>
      <c r="F92" s="2">
        <f t="shared" si="5"/>
        <v>110834.3128</v>
      </c>
    </row>
    <row r="93">
      <c r="B93" s="3">
        <f t="shared" si="1"/>
        <v>0.064</v>
      </c>
      <c r="C93" s="3">
        <f t="shared" si="2"/>
        <v>12</v>
      </c>
      <c r="D93" s="11">
        <f t="shared" si="3"/>
        <v>7.583333333</v>
      </c>
      <c r="E93" s="3">
        <f t="shared" si="4"/>
        <v>1000</v>
      </c>
      <c r="F93" s="2">
        <f t="shared" si="5"/>
        <v>110425.4292</v>
      </c>
    </row>
    <row r="94">
      <c r="B94" s="3">
        <f t="shared" si="1"/>
        <v>0.064</v>
      </c>
      <c r="C94" s="3">
        <f t="shared" si="2"/>
        <v>12</v>
      </c>
      <c r="D94" s="11">
        <f t="shared" si="3"/>
        <v>7.666666667</v>
      </c>
      <c r="E94" s="3">
        <f t="shared" si="4"/>
        <v>1000</v>
      </c>
      <c r="F94" s="2">
        <f t="shared" si="5"/>
        <v>110014.3648</v>
      </c>
    </row>
    <row r="95">
      <c r="B95" s="3">
        <f t="shared" si="1"/>
        <v>0.064</v>
      </c>
      <c r="C95" s="3">
        <f t="shared" si="2"/>
        <v>12</v>
      </c>
      <c r="D95" s="11">
        <f t="shared" si="3"/>
        <v>7.75</v>
      </c>
      <c r="E95" s="3">
        <f t="shared" si="4"/>
        <v>1000</v>
      </c>
      <c r="F95" s="2">
        <f t="shared" si="5"/>
        <v>109601.1081</v>
      </c>
    </row>
    <row r="96">
      <c r="B96" s="3">
        <f t="shared" si="1"/>
        <v>0.064</v>
      </c>
      <c r="C96" s="3">
        <f t="shared" si="2"/>
        <v>12</v>
      </c>
      <c r="D96" s="11">
        <f t="shared" si="3"/>
        <v>7.833333333</v>
      </c>
      <c r="E96" s="3">
        <f t="shared" si="4"/>
        <v>1000</v>
      </c>
      <c r="F96" s="2">
        <f t="shared" si="5"/>
        <v>109185.6473</v>
      </c>
    </row>
    <row r="97">
      <c r="B97" s="3">
        <f t="shared" si="1"/>
        <v>0.064</v>
      </c>
      <c r="C97" s="3">
        <f t="shared" si="2"/>
        <v>12</v>
      </c>
      <c r="D97" s="11">
        <f t="shared" si="3"/>
        <v>7.916666667</v>
      </c>
      <c r="E97" s="3">
        <f t="shared" si="4"/>
        <v>1000</v>
      </c>
      <c r="F97" s="2">
        <f t="shared" si="5"/>
        <v>108767.9708</v>
      </c>
    </row>
    <row r="98">
      <c r="B98" s="3">
        <f t="shared" si="1"/>
        <v>0.064</v>
      </c>
      <c r="C98" s="3">
        <f t="shared" si="2"/>
        <v>12</v>
      </c>
      <c r="D98" s="11">
        <f t="shared" si="3"/>
        <v>8</v>
      </c>
      <c r="E98" s="3">
        <f t="shared" si="4"/>
        <v>1000</v>
      </c>
      <c r="F98" s="2">
        <f t="shared" si="5"/>
        <v>108348.0666</v>
      </c>
    </row>
    <row r="99">
      <c r="B99" s="3">
        <f t="shared" si="1"/>
        <v>0.064</v>
      </c>
      <c r="C99" s="3">
        <f t="shared" si="2"/>
        <v>12</v>
      </c>
      <c r="D99" s="11">
        <f t="shared" si="3"/>
        <v>8.083333333</v>
      </c>
      <c r="E99" s="3">
        <f t="shared" si="4"/>
        <v>1000</v>
      </c>
      <c r="F99" s="2">
        <f t="shared" si="5"/>
        <v>107925.923</v>
      </c>
    </row>
    <row r="100">
      <c r="B100" s="3">
        <f t="shared" si="1"/>
        <v>0.064</v>
      </c>
      <c r="C100" s="3">
        <f t="shared" si="2"/>
        <v>12</v>
      </c>
      <c r="D100" s="11">
        <f t="shared" si="3"/>
        <v>8.166666667</v>
      </c>
      <c r="E100" s="3">
        <f t="shared" si="4"/>
        <v>1000</v>
      </c>
      <c r="F100" s="2">
        <f t="shared" si="5"/>
        <v>107501.5279</v>
      </c>
    </row>
    <row r="101">
      <c r="B101" s="3">
        <f t="shared" si="1"/>
        <v>0.064</v>
      </c>
      <c r="C101" s="3">
        <f t="shared" si="2"/>
        <v>12</v>
      </c>
      <c r="D101" s="11">
        <f t="shared" si="3"/>
        <v>8.25</v>
      </c>
      <c r="E101" s="3">
        <f t="shared" si="4"/>
        <v>1000</v>
      </c>
      <c r="F101" s="2">
        <f t="shared" si="5"/>
        <v>107074.8694</v>
      </c>
    </row>
    <row r="102">
      <c r="B102" s="3">
        <f t="shared" si="1"/>
        <v>0.064</v>
      </c>
      <c r="C102" s="3">
        <f t="shared" si="2"/>
        <v>12</v>
      </c>
      <c r="D102" s="11">
        <f t="shared" si="3"/>
        <v>8.333333333</v>
      </c>
      <c r="E102" s="3">
        <f t="shared" si="4"/>
        <v>1000</v>
      </c>
      <c r="F102" s="2">
        <f t="shared" si="5"/>
        <v>106645.9353</v>
      </c>
    </row>
    <row r="103">
      <c r="B103" s="3">
        <f t="shared" si="1"/>
        <v>0.064</v>
      </c>
      <c r="C103" s="3">
        <f t="shared" si="2"/>
        <v>12</v>
      </c>
      <c r="D103" s="11">
        <f t="shared" si="3"/>
        <v>8.416666667</v>
      </c>
      <c r="E103" s="3">
        <f t="shared" si="4"/>
        <v>1000</v>
      </c>
      <c r="F103" s="2">
        <f t="shared" si="5"/>
        <v>106214.7137</v>
      </c>
    </row>
    <row r="104">
      <c r="B104" s="3">
        <f t="shared" si="1"/>
        <v>0.064</v>
      </c>
      <c r="C104" s="3">
        <f t="shared" si="2"/>
        <v>12</v>
      </c>
      <c r="D104" s="11">
        <f t="shared" si="3"/>
        <v>8.5</v>
      </c>
      <c r="E104" s="3">
        <f t="shared" si="4"/>
        <v>1000</v>
      </c>
      <c r="F104" s="2">
        <f t="shared" si="5"/>
        <v>105781.1921</v>
      </c>
    </row>
    <row r="105">
      <c r="B105" s="3">
        <f t="shared" si="1"/>
        <v>0.064</v>
      </c>
      <c r="C105" s="3">
        <f t="shared" si="2"/>
        <v>12</v>
      </c>
      <c r="D105" s="11">
        <f t="shared" si="3"/>
        <v>8.583333333</v>
      </c>
      <c r="E105" s="3">
        <f t="shared" si="4"/>
        <v>1000</v>
      </c>
      <c r="F105" s="2">
        <f t="shared" si="5"/>
        <v>105345.3585</v>
      </c>
    </row>
    <row r="106">
      <c r="B106" s="3">
        <f t="shared" si="1"/>
        <v>0.064</v>
      </c>
      <c r="C106" s="3">
        <f t="shared" si="2"/>
        <v>12</v>
      </c>
      <c r="D106" s="11">
        <f t="shared" si="3"/>
        <v>8.666666667</v>
      </c>
      <c r="E106" s="3">
        <f t="shared" si="4"/>
        <v>1000</v>
      </c>
      <c r="F106" s="2">
        <f t="shared" si="5"/>
        <v>104907.2004</v>
      </c>
    </row>
    <row r="107">
      <c r="B107" s="3">
        <f t="shared" si="1"/>
        <v>0.064</v>
      </c>
      <c r="C107" s="3">
        <f t="shared" si="2"/>
        <v>12</v>
      </c>
      <c r="D107" s="11">
        <f t="shared" si="3"/>
        <v>8.75</v>
      </c>
      <c r="E107" s="3">
        <f t="shared" si="4"/>
        <v>1000</v>
      </c>
      <c r="F107" s="2">
        <f t="shared" si="5"/>
        <v>104466.7055</v>
      </c>
    </row>
    <row r="108">
      <c r="B108" s="3">
        <f t="shared" si="1"/>
        <v>0.064</v>
      </c>
      <c r="C108" s="3">
        <f t="shared" si="2"/>
        <v>12</v>
      </c>
      <c r="D108" s="11">
        <f t="shared" si="3"/>
        <v>8.833333333</v>
      </c>
      <c r="E108" s="3">
        <f t="shared" si="4"/>
        <v>1000</v>
      </c>
      <c r="F108" s="2">
        <f t="shared" si="5"/>
        <v>104023.8612</v>
      </c>
    </row>
    <row r="109">
      <c r="B109" s="3">
        <f t="shared" si="1"/>
        <v>0.064</v>
      </c>
      <c r="C109" s="3">
        <f t="shared" si="2"/>
        <v>12</v>
      </c>
      <c r="D109" s="11">
        <f t="shared" si="3"/>
        <v>8.916666667</v>
      </c>
      <c r="E109" s="3">
        <f t="shared" si="4"/>
        <v>1000</v>
      </c>
      <c r="F109" s="2">
        <f t="shared" si="5"/>
        <v>103578.6552</v>
      </c>
    </row>
    <row r="110">
      <c r="B110" s="3">
        <f t="shared" si="1"/>
        <v>0.064</v>
      </c>
      <c r="C110" s="3">
        <f t="shared" si="2"/>
        <v>12</v>
      </c>
      <c r="D110" s="11">
        <f t="shared" si="3"/>
        <v>9</v>
      </c>
      <c r="E110" s="3">
        <f t="shared" si="4"/>
        <v>1000</v>
      </c>
      <c r="F110" s="2">
        <f t="shared" si="5"/>
        <v>103131.0747</v>
      </c>
    </row>
    <row r="111">
      <c r="B111" s="3">
        <f t="shared" si="1"/>
        <v>0.064</v>
      </c>
      <c r="C111" s="3">
        <f t="shared" si="2"/>
        <v>12</v>
      </c>
      <c r="D111" s="11">
        <f t="shared" si="3"/>
        <v>9.083333333</v>
      </c>
      <c r="E111" s="3">
        <f t="shared" si="4"/>
        <v>1000</v>
      </c>
      <c r="F111" s="2">
        <f t="shared" si="5"/>
        <v>102681.1071</v>
      </c>
    </row>
    <row r="112">
      <c r="B112" s="3">
        <f t="shared" si="1"/>
        <v>0.064</v>
      </c>
      <c r="C112" s="3">
        <f t="shared" si="2"/>
        <v>12</v>
      </c>
      <c r="D112" s="11">
        <f t="shared" si="3"/>
        <v>9.166666667</v>
      </c>
      <c r="E112" s="3">
        <f t="shared" si="4"/>
        <v>1000</v>
      </c>
      <c r="F112" s="2">
        <f t="shared" si="5"/>
        <v>102228.7396</v>
      </c>
    </row>
    <row r="113">
      <c r="B113" s="3">
        <f t="shared" si="1"/>
        <v>0.064</v>
      </c>
      <c r="C113" s="3">
        <f t="shared" si="2"/>
        <v>12</v>
      </c>
      <c r="D113" s="11">
        <f t="shared" si="3"/>
        <v>9.25</v>
      </c>
      <c r="E113" s="3">
        <f t="shared" si="4"/>
        <v>1000</v>
      </c>
      <c r="F113" s="2">
        <f t="shared" si="5"/>
        <v>101773.9596</v>
      </c>
    </row>
    <row r="114">
      <c r="B114" s="3">
        <f t="shared" si="1"/>
        <v>0.064</v>
      </c>
      <c r="C114" s="3">
        <f t="shared" si="2"/>
        <v>12</v>
      </c>
      <c r="D114" s="11">
        <f t="shared" si="3"/>
        <v>9.333333333</v>
      </c>
      <c r="E114" s="3">
        <f t="shared" si="4"/>
        <v>1000</v>
      </c>
      <c r="F114" s="2">
        <f t="shared" si="5"/>
        <v>101316.754</v>
      </c>
    </row>
    <row r="115">
      <c r="B115" s="3">
        <f t="shared" si="1"/>
        <v>0.064</v>
      </c>
      <c r="C115" s="3">
        <f t="shared" si="2"/>
        <v>12</v>
      </c>
      <c r="D115" s="11">
        <f t="shared" si="3"/>
        <v>9.416666667</v>
      </c>
      <c r="E115" s="3">
        <f t="shared" si="4"/>
        <v>1000</v>
      </c>
      <c r="F115" s="2">
        <f t="shared" si="5"/>
        <v>100857.11</v>
      </c>
    </row>
    <row r="116">
      <c r="B116" s="3">
        <f t="shared" si="1"/>
        <v>0.064</v>
      </c>
      <c r="C116" s="3">
        <f t="shared" si="2"/>
        <v>12</v>
      </c>
      <c r="D116" s="11">
        <f t="shared" si="3"/>
        <v>9.5</v>
      </c>
      <c r="E116" s="3">
        <f t="shared" si="4"/>
        <v>1000</v>
      </c>
      <c r="F116" s="2">
        <f t="shared" si="5"/>
        <v>100395.0146</v>
      </c>
    </row>
    <row r="117">
      <c r="B117" s="3">
        <f t="shared" si="1"/>
        <v>0.064</v>
      </c>
      <c r="C117" s="3">
        <f t="shared" si="2"/>
        <v>12</v>
      </c>
      <c r="D117" s="11">
        <f t="shared" si="3"/>
        <v>9.583333333</v>
      </c>
      <c r="E117" s="3">
        <f t="shared" si="4"/>
        <v>1000</v>
      </c>
      <c r="F117" s="2">
        <f t="shared" si="5"/>
        <v>99930.45471</v>
      </c>
    </row>
    <row r="118">
      <c r="B118" s="3">
        <f t="shared" si="1"/>
        <v>0.064</v>
      </c>
      <c r="C118" s="3">
        <f t="shared" si="2"/>
        <v>12</v>
      </c>
      <c r="D118" s="11">
        <f t="shared" si="3"/>
        <v>9.666666667</v>
      </c>
      <c r="E118" s="3">
        <f t="shared" si="4"/>
        <v>1000</v>
      </c>
      <c r="F118" s="2">
        <f t="shared" si="5"/>
        <v>99463.41714</v>
      </c>
    </row>
    <row r="119">
      <c r="B119" s="3">
        <f t="shared" si="1"/>
        <v>0.064</v>
      </c>
      <c r="C119" s="3">
        <f t="shared" si="2"/>
        <v>12</v>
      </c>
      <c r="D119" s="11">
        <f t="shared" si="3"/>
        <v>9.75</v>
      </c>
      <c r="E119" s="3">
        <f t="shared" si="4"/>
        <v>1000</v>
      </c>
      <c r="F119" s="2">
        <f t="shared" si="5"/>
        <v>98993.8887</v>
      </c>
    </row>
    <row r="120">
      <c r="B120" s="3">
        <f t="shared" si="1"/>
        <v>0.064</v>
      </c>
      <c r="C120" s="3">
        <f t="shared" si="2"/>
        <v>12</v>
      </c>
      <c r="D120" s="11">
        <f t="shared" si="3"/>
        <v>9.833333333</v>
      </c>
      <c r="E120" s="3">
        <f t="shared" si="4"/>
        <v>1000</v>
      </c>
      <c r="F120" s="2">
        <f t="shared" si="5"/>
        <v>98521.8561</v>
      </c>
    </row>
    <row r="121">
      <c r="B121" s="3">
        <f t="shared" si="1"/>
        <v>0.064</v>
      </c>
      <c r="C121" s="3">
        <f t="shared" si="2"/>
        <v>12</v>
      </c>
      <c r="D121" s="11">
        <f t="shared" si="3"/>
        <v>9.916666667</v>
      </c>
      <c r="E121" s="3">
        <f t="shared" si="4"/>
        <v>1000</v>
      </c>
      <c r="F121" s="2">
        <f t="shared" si="5"/>
        <v>98047.306</v>
      </c>
    </row>
    <row r="122">
      <c r="B122" s="3">
        <f t="shared" si="1"/>
        <v>0.064</v>
      </c>
      <c r="C122" s="3">
        <f t="shared" si="2"/>
        <v>12</v>
      </c>
      <c r="D122" s="11">
        <f t="shared" si="3"/>
        <v>10</v>
      </c>
      <c r="E122" s="3">
        <f t="shared" si="4"/>
        <v>1000</v>
      </c>
      <c r="F122" s="2">
        <f t="shared" si="5"/>
        <v>97570.22497</v>
      </c>
    </row>
    <row r="123">
      <c r="B123" s="3">
        <f t="shared" si="1"/>
        <v>0.064</v>
      </c>
      <c r="C123" s="3">
        <f t="shared" si="2"/>
        <v>12</v>
      </c>
      <c r="D123" s="11">
        <f t="shared" si="3"/>
        <v>10.08333333</v>
      </c>
      <c r="E123" s="3">
        <f t="shared" si="4"/>
        <v>1000</v>
      </c>
      <c r="F123" s="2">
        <f t="shared" si="5"/>
        <v>97090.5995</v>
      </c>
    </row>
    <row r="124">
      <c r="B124" s="3">
        <f t="shared" si="1"/>
        <v>0.064</v>
      </c>
      <c r="C124" s="3">
        <f t="shared" si="2"/>
        <v>12</v>
      </c>
      <c r="D124" s="11">
        <f t="shared" si="3"/>
        <v>10.16666667</v>
      </c>
      <c r="E124" s="3">
        <f t="shared" si="4"/>
        <v>1000</v>
      </c>
      <c r="F124" s="2">
        <f t="shared" si="5"/>
        <v>96608.41603</v>
      </c>
    </row>
    <row r="125">
      <c r="B125" s="3">
        <f t="shared" si="1"/>
        <v>0.064</v>
      </c>
      <c r="C125" s="3">
        <f t="shared" si="2"/>
        <v>12</v>
      </c>
      <c r="D125" s="11">
        <f t="shared" si="3"/>
        <v>10.25</v>
      </c>
      <c r="E125" s="3">
        <f t="shared" si="4"/>
        <v>1000</v>
      </c>
      <c r="F125" s="2">
        <f t="shared" si="5"/>
        <v>96123.66092</v>
      </c>
    </row>
    <row r="126">
      <c r="B126" s="3">
        <f t="shared" si="1"/>
        <v>0.064</v>
      </c>
      <c r="C126" s="3">
        <f t="shared" si="2"/>
        <v>12</v>
      </c>
      <c r="D126" s="11">
        <f t="shared" si="3"/>
        <v>10.33333333</v>
      </c>
      <c r="E126" s="3">
        <f t="shared" si="4"/>
        <v>1000</v>
      </c>
      <c r="F126" s="2">
        <f t="shared" si="5"/>
        <v>95636.32044</v>
      </c>
    </row>
    <row r="127">
      <c r="B127" s="3">
        <f t="shared" si="1"/>
        <v>0.064</v>
      </c>
      <c r="C127" s="3">
        <f t="shared" si="2"/>
        <v>12</v>
      </c>
      <c r="D127" s="11">
        <f t="shared" si="3"/>
        <v>10.41666667</v>
      </c>
      <c r="E127" s="3">
        <f t="shared" si="4"/>
        <v>1000</v>
      </c>
      <c r="F127" s="2">
        <f t="shared" si="5"/>
        <v>95146.38082</v>
      </c>
    </row>
    <row r="128">
      <c r="B128" s="3">
        <f t="shared" si="1"/>
        <v>0.064</v>
      </c>
      <c r="C128" s="3">
        <f t="shared" si="2"/>
        <v>12</v>
      </c>
      <c r="D128" s="11">
        <f t="shared" si="3"/>
        <v>10.5</v>
      </c>
      <c r="E128" s="3">
        <f t="shared" si="4"/>
        <v>1000</v>
      </c>
      <c r="F128" s="2">
        <f t="shared" si="5"/>
        <v>94653.82818</v>
      </c>
    </row>
    <row r="129">
      <c r="B129" s="3">
        <f t="shared" si="1"/>
        <v>0.064</v>
      </c>
      <c r="C129" s="3">
        <f t="shared" si="2"/>
        <v>12</v>
      </c>
      <c r="D129" s="11">
        <f t="shared" si="3"/>
        <v>10.58333333</v>
      </c>
      <c r="E129" s="3">
        <f t="shared" si="4"/>
        <v>1000</v>
      </c>
      <c r="F129" s="2">
        <f t="shared" si="5"/>
        <v>94158.6486</v>
      </c>
    </row>
    <row r="130">
      <c r="B130" s="3">
        <f t="shared" si="1"/>
        <v>0.064</v>
      </c>
      <c r="C130" s="3">
        <f t="shared" si="2"/>
        <v>12</v>
      </c>
      <c r="D130" s="11">
        <f t="shared" si="3"/>
        <v>10.66666667</v>
      </c>
      <c r="E130" s="3">
        <f t="shared" si="4"/>
        <v>1000</v>
      </c>
      <c r="F130" s="2">
        <f t="shared" si="5"/>
        <v>93660.82806</v>
      </c>
    </row>
    <row r="131">
      <c r="B131" s="3">
        <f t="shared" si="1"/>
        <v>0.064</v>
      </c>
      <c r="C131" s="3">
        <f t="shared" si="2"/>
        <v>12</v>
      </c>
      <c r="D131" s="11">
        <f t="shared" si="3"/>
        <v>10.75</v>
      </c>
      <c r="E131" s="3">
        <f t="shared" si="4"/>
        <v>1000</v>
      </c>
      <c r="F131" s="2">
        <f t="shared" si="5"/>
        <v>93160.35247</v>
      </c>
    </row>
    <row r="132">
      <c r="B132" s="3">
        <f t="shared" si="1"/>
        <v>0.064</v>
      </c>
      <c r="C132" s="3">
        <f t="shared" si="2"/>
        <v>12</v>
      </c>
      <c r="D132" s="11">
        <f t="shared" si="3"/>
        <v>10.83333333</v>
      </c>
      <c r="E132" s="3">
        <f t="shared" si="4"/>
        <v>1000</v>
      </c>
      <c r="F132" s="2">
        <f t="shared" si="5"/>
        <v>92657.20769</v>
      </c>
    </row>
    <row r="133">
      <c r="B133" s="3">
        <f t="shared" si="1"/>
        <v>0.064</v>
      </c>
      <c r="C133" s="3">
        <f t="shared" si="2"/>
        <v>12</v>
      </c>
      <c r="D133" s="11">
        <f t="shared" si="3"/>
        <v>10.91666667</v>
      </c>
      <c r="E133" s="3">
        <f t="shared" si="4"/>
        <v>1000</v>
      </c>
      <c r="F133" s="2">
        <f t="shared" si="5"/>
        <v>92151.37946</v>
      </c>
    </row>
    <row r="134">
      <c r="B134" s="3">
        <f t="shared" si="1"/>
        <v>0.064</v>
      </c>
      <c r="C134" s="3">
        <f t="shared" si="2"/>
        <v>12</v>
      </c>
      <c r="D134" s="11">
        <f t="shared" si="3"/>
        <v>11</v>
      </c>
      <c r="E134" s="3">
        <f t="shared" si="4"/>
        <v>1000</v>
      </c>
      <c r="F134" s="2">
        <f t="shared" si="5"/>
        <v>91642.85348</v>
      </c>
    </row>
    <row r="135">
      <c r="B135" s="3">
        <f t="shared" si="1"/>
        <v>0.064</v>
      </c>
      <c r="C135" s="3">
        <f t="shared" si="2"/>
        <v>12</v>
      </c>
      <c r="D135" s="11">
        <f t="shared" si="3"/>
        <v>11.08333333</v>
      </c>
      <c r="E135" s="3">
        <f t="shared" si="4"/>
        <v>1000</v>
      </c>
      <c r="F135" s="2">
        <f t="shared" si="5"/>
        <v>91131.61537</v>
      </c>
    </row>
    <row r="136">
      <c r="B136" s="3">
        <f t="shared" si="1"/>
        <v>0.064</v>
      </c>
      <c r="C136" s="3">
        <f t="shared" si="2"/>
        <v>12</v>
      </c>
      <c r="D136" s="11">
        <f t="shared" si="3"/>
        <v>11.16666667</v>
      </c>
      <c r="E136" s="3">
        <f t="shared" si="4"/>
        <v>1000</v>
      </c>
      <c r="F136" s="2">
        <f t="shared" si="5"/>
        <v>90617.65065</v>
      </c>
    </row>
    <row r="137">
      <c r="B137" s="3">
        <f t="shared" si="1"/>
        <v>0.064</v>
      </c>
      <c r="C137" s="3">
        <f t="shared" si="2"/>
        <v>12</v>
      </c>
      <c r="D137" s="11">
        <f t="shared" si="3"/>
        <v>11.25</v>
      </c>
      <c r="E137" s="3">
        <f t="shared" si="4"/>
        <v>1000</v>
      </c>
      <c r="F137" s="2">
        <f t="shared" si="5"/>
        <v>90100.94479</v>
      </c>
    </row>
    <row r="138">
      <c r="B138" s="3">
        <f t="shared" si="1"/>
        <v>0.064</v>
      </c>
      <c r="C138" s="3">
        <f t="shared" si="2"/>
        <v>12</v>
      </c>
      <c r="D138" s="11">
        <f t="shared" si="3"/>
        <v>11.33333333</v>
      </c>
      <c r="E138" s="3">
        <f t="shared" si="4"/>
        <v>1000</v>
      </c>
      <c r="F138" s="2">
        <f t="shared" si="5"/>
        <v>89581.48316</v>
      </c>
    </row>
    <row r="139">
      <c r="B139" s="3">
        <f t="shared" si="1"/>
        <v>0.064</v>
      </c>
      <c r="C139" s="3">
        <f t="shared" si="2"/>
        <v>12</v>
      </c>
      <c r="D139" s="11">
        <f t="shared" si="3"/>
        <v>11.41666667</v>
      </c>
      <c r="E139" s="3">
        <f t="shared" si="4"/>
        <v>1000</v>
      </c>
      <c r="F139" s="2">
        <f t="shared" si="5"/>
        <v>89059.25107</v>
      </c>
    </row>
    <row r="140">
      <c r="B140" s="3">
        <f t="shared" si="1"/>
        <v>0.064</v>
      </c>
      <c r="C140" s="3">
        <f t="shared" si="2"/>
        <v>12</v>
      </c>
      <c r="D140" s="11">
        <f t="shared" si="3"/>
        <v>11.5</v>
      </c>
      <c r="E140" s="3">
        <f t="shared" si="4"/>
        <v>1000</v>
      </c>
      <c r="F140" s="2">
        <f t="shared" si="5"/>
        <v>88534.23374</v>
      </c>
    </row>
    <row r="141">
      <c r="B141" s="3">
        <f t="shared" si="1"/>
        <v>0.064</v>
      </c>
      <c r="C141" s="3">
        <f t="shared" si="2"/>
        <v>12</v>
      </c>
      <c r="D141" s="11">
        <f t="shared" si="3"/>
        <v>11.58333333</v>
      </c>
      <c r="E141" s="3">
        <f t="shared" si="4"/>
        <v>1000</v>
      </c>
      <c r="F141" s="2">
        <f t="shared" si="5"/>
        <v>88006.41632</v>
      </c>
    </row>
    <row r="142">
      <c r="B142" s="3">
        <f t="shared" si="1"/>
        <v>0.064</v>
      </c>
      <c r="C142" s="3">
        <f t="shared" si="2"/>
        <v>12</v>
      </c>
      <c r="D142" s="11">
        <f t="shared" si="3"/>
        <v>11.66666667</v>
      </c>
      <c r="E142" s="3">
        <f t="shared" si="4"/>
        <v>1000</v>
      </c>
      <c r="F142" s="2">
        <f t="shared" si="5"/>
        <v>87475.78388</v>
      </c>
    </row>
    <row r="143">
      <c r="B143" s="3">
        <f t="shared" si="1"/>
        <v>0.064</v>
      </c>
      <c r="C143" s="3">
        <f t="shared" si="2"/>
        <v>12</v>
      </c>
      <c r="D143" s="11">
        <f t="shared" si="3"/>
        <v>11.75</v>
      </c>
      <c r="E143" s="3">
        <f t="shared" si="4"/>
        <v>1000</v>
      </c>
      <c r="F143" s="2">
        <f t="shared" si="5"/>
        <v>86942.32139</v>
      </c>
    </row>
    <row r="144">
      <c r="B144" s="3">
        <f t="shared" si="1"/>
        <v>0.064</v>
      </c>
      <c r="C144" s="3">
        <f t="shared" si="2"/>
        <v>12</v>
      </c>
      <c r="D144" s="11">
        <f t="shared" si="3"/>
        <v>11.83333333</v>
      </c>
      <c r="E144" s="3">
        <f t="shared" si="4"/>
        <v>1000</v>
      </c>
      <c r="F144" s="2">
        <f t="shared" si="5"/>
        <v>86406.01377</v>
      </c>
    </row>
    <row r="145">
      <c r="B145" s="3">
        <f t="shared" si="1"/>
        <v>0.064</v>
      </c>
      <c r="C145" s="3">
        <f t="shared" si="2"/>
        <v>12</v>
      </c>
      <c r="D145" s="11">
        <f t="shared" si="3"/>
        <v>11.91666667</v>
      </c>
      <c r="E145" s="3">
        <f t="shared" si="4"/>
        <v>1000</v>
      </c>
      <c r="F145" s="2">
        <f t="shared" si="5"/>
        <v>85866.84584</v>
      </c>
    </row>
    <row r="146">
      <c r="B146" s="3">
        <f t="shared" si="1"/>
        <v>0.064</v>
      </c>
      <c r="C146" s="3">
        <f t="shared" si="2"/>
        <v>12</v>
      </c>
      <c r="D146" s="11">
        <f t="shared" si="3"/>
        <v>12</v>
      </c>
      <c r="E146" s="3">
        <f t="shared" si="4"/>
        <v>1000</v>
      </c>
      <c r="F146" s="2">
        <f t="shared" si="5"/>
        <v>85324.80236</v>
      </c>
    </row>
    <row r="147">
      <c r="B147" s="3">
        <f t="shared" si="1"/>
        <v>0.064</v>
      </c>
      <c r="C147" s="3">
        <f t="shared" si="2"/>
        <v>12</v>
      </c>
      <c r="D147" s="11">
        <f t="shared" si="3"/>
        <v>12.08333333</v>
      </c>
      <c r="E147" s="3">
        <f t="shared" si="4"/>
        <v>1000</v>
      </c>
      <c r="F147" s="2">
        <f t="shared" si="5"/>
        <v>84779.86797</v>
      </c>
    </row>
    <row r="148">
      <c r="B148" s="3">
        <f t="shared" si="1"/>
        <v>0.064</v>
      </c>
      <c r="C148" s="3">
        <f t="shared" si="2"/>
        <v>12</v>
      </c>
      <c r="D148" s="11">
        <f t="shared" si="3"/>
        <v>12.16666667</v>
      </c>
      <c r="E148" s="3">
        <f t="shared" si="4"/>
        <v>1000</v>
      </c>
      <c r="F148" s="2">
        <f t="shared" si="5"/>
        <v>84232.02726</v>
      </c>
    </row>
    <row r="149">
      <c r="B149" s="3">
        <f t="shared" si="1"/>
        <v>0.064</v>
      </c>
      <c r="C149" s="3">
        <f t="shared" si="2"/>
        <v>12</v>
      </c>
      <c r="D149" s="11">
        <f t="shared" si="3"/>
        <v>12.25</v>
      </c>
      <c r="E149" s="3">
        <f t="shared" si="4"/>
        <v>1000</v>
      </c>
      <c r="F149" s="2">
        <f t="shared" si="5"/>
        <v>83681.26474</v>
      </c>
    </row>
    <row r="150">
      <c r="B150" s="3">
        <f t="shared" si="1"/>
        <v>0.064</v>
      </c>
      <c r="C150" s="3">
        <f t="shared" si="2"/>
        <v>12</v>
      </c>
      <c r="D150" s="11">
        <f t="shared" si="3"/>
        <v>12.33333333</v>
      </c>
      <c r="E150" s="3">
        <f t="shared" si="4"/>
        <v>1000</v>
      </c>
      <c r="F150" s="2">
        <f t="shared" si="5"/>
        <v>83127.56482</v>
      </c>
    </row>
    <row r="151">
      <c r="B151" s="3">
        <f t="shared" si="1"/>
        <v>0.064</v>
      </c>
      <c r="C151" s="3">
        <f t="shared" si="2"/>
        <v>12</v>
      </c>
      <c r="D151" s="11">
        <f t="shared" si="3"/>
        <v>12.41666667</v>
      </c>
      <c r="E151" s="3">
        <f t="shared" si="4"/>
        <v>1000</v>
      </c>
      <c r="F151" s="2">
        <f t="shared" si="5"/>
        <v>82570.91183</v>
      </c>
    </row>
    <row r="152">
      <c r="B152" s="3">
        <f t="shared" si="1"/>
        <v>0.064</v>
      </c>
      <c r="C152" s="3">
        <f t="shared" si="2"/>
        <v>12</v>
      </c>
      <c r="D152" s="11">
        <f t="shared" si="3"/>
        <v>12.5</v>
      </c>
      <c r="E152" s="3">
        <f t="shared" si="4"/>
        <v>1000</v>
      </c>
      <c r="F152" s="2">
        <f t="shared" si="5"/>
        <v>82011.29003</v>
      </c>
    </row>
    <row r="153">
      <c r="B153" s="3">
        <f t="shared" si="1"/>
        <v>0.064</v>
      </c>
      <c r="C153" s="3">
        <f t="shared" si="2"/>
        <v>12</v>
      </c>
      <c r="D153" s="11">
        <f t="shared" si="3"/>
        <v>12.58333333</v>
      </c>
      <c r="E153" s="3">
        <f t="shared" si="4"/>
        <v>1000</v>
      </c>
      <c r="F153" s="2">
        <f t="shared" si="5"/>
        <v>81448.68358</v>
      </c>
    </row>
    <row r="154">
      <c r="B154" s="3">
        <f t="shared" si="1"/>
        <v>0.064</v>
      </c>
      <c r="C154" s="3">
        <f t="shared" si="2"/>
        <v>12</v>
      </c>
      <c r="D154" s="11">
        <f t="shared" si="3"/>
        <v>12.66666667</v>
      </c>
      <c r="E154" s="3">
        <f t="shared" si="4"/>
        <v>1000</v>
      </c>
      <c r="F154" s="2">
        <f t="shared" si="5"/>
        <v>80883.07656</v>
      </c>
    </row>
    <row r="155">
      <c r="B155" s="3">
        <f t="shared" si="1"/>
        <v>0.064</v>
      </c>
      <c r="C155" s="3">
        <f t="shared" si="2"/>
        <v>12</v>
      </c>
      <c r="D155" s="11">
        <f t="shared" si="3"/>
        <v>12.75</v>
      </c>
      <c r="E155" s="3">
        <f t="shared" si="4"/>
        <v>1000</v>
      </c>
      <c r="F155" s="2">
        <f t="shared" si="5"/>
        <v>80314.45296</v>
      </c>
    </row>
    <row r="156">
      <c r="B156" s="3">
        <f t="shared" si="1"/>
        <v>0.064</v>
      </c>
      <c r="C156" s="3">
        <f t="shared" si="2"/>
        <v>12</v>
      </c>
      <c r="D156" s="11">
        <f t="shared" si="3"/>
        <v>12.83333333</v>
      </c>
      <c r="E156" s="3">
        <f t="shared" si="4"/>
        <v>1000</v>
      </c>
      <c r="F156" s="2">
        <f t="shared" si="5"/>
        <v>79742.79671</v>
      </c>
    </row>
    <row r="157">
      <c r="B157" s="3">
        <f t="shared" si="1"/>
        <v>0.064</v>
      </c>
      <c r="C157" s="3">
        <f t="shared" si="2"/>
        <v>12</v>
      </c>
      <c r="D157" s="11">
        <f t="shared" si="3"/>
        <v>12.91666667</v>
      </c>
      <c r="E157" s="3">
        <f t="shared" si="4"/>
        <v>1000</v>
      </c>
      <c r="F157" s="2">
        <f t="shared" si="5"/>
        <v>79168.09163</v>
      </c>
    </row>
    <row r="158">
      <c r="B158" s="3">
        <f t="shared" si="1"/>
        <v>0.064</v>
      </c>
      <c r="C158" s="3">
        <f t="shared" si="2"/>
        <v>12</v>
      </c>
      <c r="D158" s="11">
        <f t="shared" si="3"/>
        <v>13</v>
      </c>
      <c r="E158" s="3">
        <f t="shared" si="4"/>
        <v>1000</v>
      </c>
      <c r="F158" s="2">
        <f t="shared" si="5"/>
        <v>78590.32145</v>
      </c>
    </row>
    <row r="159">
      <c r="B159" s="3">
        <f t="shared" si="1"/>
        <v>0.064</v>
      </c>
      <c r="C159" s="3">
        <f t="shared" si="2"/>
        <v>12</v>
      </c>
      <c r="D159" s="11">
        <f t="shared" si="3"/>
        <v>13.08333333</v>
      </c>
      <c r="E159" s="3">
        <f t="shared" si="4"/>
        <v>1000</v>
      </c>
      <c r="F159" s="2">
        <f t="shared" si="5"/>
        <v>78009.46983</v>
      </c>
    </row>
    <row r="160">
      <c r="B160" s="3">
        <f t="shared" si="1"/>
        <v>0.064</v>
      </c>
      <c r="C160" s="3">
        <f t="shared" si="2"/>
        <v>12</v>
      </c>
      <c r="D160" s="11">
        <f t="shared" si="3"/>
        <v>13.16666667</v>
      </c>
      <c r="E160" s="3">
        <f t="shared" si="4"/>
        <v>1000</v>
      </c>
      <c r="F160" s="2">
        <f t="shared" si="5"/>
        <v>77425.52034</v>
      </c>
    </row>
    <row r="161">
      <c r="B161" s="3">
        <f t="shared" si="1"/>
        <v>0.064</v>
      </c>
      <c r="C161" s="3">
        <f t="shared" si="2"/>
        <v>12</v>
      </c>
      <c r="D161" s="11">
        <f t="shared" si="3"/>
        <v>13.25</v>
      </c>
      <c r="E161" s="3">
        <f t="shared" si="4"/>
        <v>1000</v>
      </c>
      <c r="F161" s="2">
        <f t="shared" si="5"/>
        <v>76838.45645</v>
      </c>
    </row>
    <row r="162">
      <c r="B162" s="3">
        <f t="shared" si="1"/>
        <v>0.064</v>
      </c>
      <c r="C162" s="3">
        <f t="shared" si="2"/>
        <v>12</v>
      </c>
      <c r="D162" s="11">
        <f t="shared" si="3"/>
        <v>13.33333333</v>
      </c>
      <c r="E162" s="3">
        <f t="shared" si="4"/>
        <v>1000</v>
      </c>
      <c r="F162" s="2">
        <f t="shared" si="5"/>
        <v>76248.26155</v>
      </c>
    </row>
    <row r="163">
      <c r="B163" s="3">
        <f t="shared" si="1"/>
        <v>0.064</v>
      </c>
      <c r="C163" s="3">
        <f t="shared" si="2"/>
        <v>12</v>
      </c>
      <c r="D163" s="11">
        <f t="shared" si="3"/>
        <v>13.41666667</v>
      </c>
      <c r="E163" s="3">
        <f t="shared" si="4"/>
        <v>1000</v>
      </c>
      <c r="F163" s="2">
        <f t="shared" si="5"/>
        <v>75654.91894</v>
      </c>
    </row>
    <row r="164">
      <c r="B164" s="3">
        <f t="shared" si="1"/>
        <v>0.064</v>
      </c>
      <c r="C164" s="3">
        <f t="shared" si="2"/>
        <v>12</v>
      </c>
      <c r="D164" s="11">
        <f t="shared" si="3"/>
        <v>13.5</v>
      </c>
      <c r="E164" s="3">
        <f t="shared" si="4"/>
        <v>1000</v>
      </c>
      <c r="F164" s="2">
        <f t="shared" si="5"/>
        <v>75058.41184</v>
      </c>
    </row>
    <row r="165">
      <c r="B165" s="3">
        <f t="shared" si="1"/>
        <v>0.064</v>
      </c>
      <c r="C165" s="3">
        <f t="shared" si="2"/>
        <v>12</v>
      </c>
      <c r="D165" s="11">
        <f t="shared" si="3"/>
        <v>13.58333333</v>
      </c>
      <c r="E165" s="3">
        <f t="shared" si="4"/>
        <v>1000</v>
      </c>
      <c r="F165" s="2">
        <f t="shared" si="5"/>
        <v>74458.72337</v>
      </c>
    </row>
    <row r="166">
      <c r="B166" s="3">
        <f t="shared" si="1"/>
        <v>0.064</v>
      </c>
      <c r="C166" s="3">
        <f t="shared" si="2"/>
        <v>12</v>
      </c>
      <c r="D166" s="11">
        <f t="shared" si="3"/>
        <v>13.66666667</v>
      </c>
      <c r="E166" s="3">
        <f t="shared" si="4"/>
        <v>1000</v>
      </c>
      <c r="F166" s="2">
        <f t="shared" si="5"/>
        <v>73855.83657</v>
      </c>
    </row>
    <row r="167">
      <c r="B167" s="3">
        <f t="shared" si="1"/>
        <v>0.064</v>
      </c>
      <c r="C167" s="3">
        <f t="shared" si="2"/>
        <v>12</v>
      </c>
      <c r="D167" s="11">
        <f t="shared" si="3"/>
        <v>13.75</v>
      </c>
      <c r="E167" s="3">
        <f t="shared" si="4"/>
        <v>1000</v>
      </c>
      <c r="F167" s="2">
        <f t="shared" si="5"/>
        <v>73249.73436</v>
      </c>
    </row>
    <row r="168">
      <c r="B168" s="3">
        <f t="shared" si="1"/>
        <v>0.064</v>
      </c>
      <c r="C168" s="3">
        <f t="shared" si="2"/>
        <v>12</v>
      </c>
      <c r="D168" s="11">
        <f t="shared" si="3"/>
        <v>13.83333333</v>
      </c>
      <c r="E168" s="3">
        <f t="shared" si="4"/>
        <v>1000</v>
      </c>
      <c r="F168" s="2">
        <f t="shared" si="5"/>
        <v>72640.39961</v>
      </c>
    </row>
    <row r="169">
      <c r="B169" s="3">
        <f t="shared" si="1"/>
        <v>0.064</v>
      </c>
      <c r="C169" s="3">
        <f t="shared" si="2"/>
        <v>12</v>
      </c>
      <c r="D169" s="11">
        <f t="shared" si="3"/>
        <v>13.91666667</v>
      </c>
      <c r="E169" s="3">
        <f t="shared" si="4"/>
        <v>1000</v>
      </c>
      <c r="F169" s="2">
        <f t="shared" si="5"/>
        <v>72027.81507</v>
      </c>
    </row>
    <row r="170">
      <c r="B170" s="3">
        <f t="shared" si="1"/>
        <v>0.064</v>
      </c>
      <c r="C170" s="3">
        <f t="shared" si="2"/>
        <v>12</v>
      </c>
      <c r="D170" s="11">
        <f t="shared" si="3"/>
        <v>14</v>
      </c>
      <c r="E170" s="3">
        <f t="shared" si="4"/>
        <v>1000</v>
      </c>
      <c r="F170" s="2">
        <f t="shared" si="5"/>
        <v>71411.96342</v>
      </c>
    </row>
    <row r="171">
      <c r="B171" s="3">
        <f t="shared" si="1"/>
        <v>0.064</v>
      </c>
      <c r="C171" s="3">
        <f t="shared" si="2"/>
        <v>12</v>
      </c>
      <c r="D171" s="11">
        <f t="shared" si="3"/>
        <v>14.08333333</v>
      </c>
      <c r="E171" s="3">
        <f t="shared" si="4"/>
        <v>1000</v>
      </c>
      <c r="F171" s="2">
        <f t="shared" si="5"/>
        <v>70792.82723</v>
      </c>
    </row>
    <row r="172">
      <c r="B172" s="3">
        <f t="shared" si="1"/>
        <v>0.064</v>
      </c>
      <c r="C172" s="3">
        <f t="shared" si="2"/>
        <v>12</v>
      </c>
      <c r="D172" s="11">
        <f t="shared" si="3"/>
        <v>14.16666667</v>
      </c>
      <c r="E172" s="3">
        <f t="shared" si="4"/>
        <v>1000</v>
      </c>
      <c r="F172" s="2">
        <f t="shared" si="5"/>
        <v>70170.38897</v>
      </c>
    </row>
    <row r="173">
      <c r="B173" s="3">
        <f t="shared" si="1"/>
        <v>0.064</v>
      </c>
      <c r="C173" s="3">
        <f t="shared" si="2"/>
        <v>12</v>
      </c>
      <c r="D173" s="11">
        <f t="shared" si="3"/>
        <v>14.25</v>
      </c>
      <c r="E173" s="3">
        <f t="shared" si="4"/>
        <v>1000</v>
      </c>
      <c r="F173" s="2">
        <f t="shared" si="5"/>
        <v>69544.63105</v>
      </c>
    </row>
    <row r="174">
      <c r="B174" s="3">
        <f t="shared" si="1"/>
        <v>0.064</v>
      </c>
      <c r="C174" s="3">
        <f t="shared" si="2"/>
        <v>12</v>
      </c>
      <c r="D174" s="11">
        <f t="shared" si="3"/>
        <v>14.33333333</v>
      </c>
      <c r="E174" s="3">
        <f t="shared" si="4"/>
        <v>1000</v>
      </c>
      <c r="F174" s="2">
        <f t="shared" si="5"/>
        <v>68915.53575</v>
      </c>
    </row>
    <row r="175">
      <c r="B175" s="3">
        <f t="shared" si="1"/>
        <v>0.064</v>
      </c>
      <c r="C175" s="3">
        <f t="shared" si="2"/>
        <v>12</v>
      </c>
      <c r="D175" s="11">
        <f t="shared" si="3"/>
        <v>14.41666667</v>
      </c>
      <c r="E175" s="3">
        <f t="shared" si="4"/>
        <v>1000</v>
      </c>
      <c r="F175" s="2">
        <f t="shared" si="5"/>
        <v>68283.08527</v>
      </c>
    </row>
    <row r="176">
      <c r="B176" s="3">
        <f t="shared" si="1"/>
        <v>0.064</v>
      </c>
      <c r="C176" s="3">
        <f t="shared" si="2"/>
        <v>12</v>
      </c>
      <c r="D176" s="11">
        <f t="shared" si="3"/>
        <v>14.5</v>
      </c>
      <c r="E176" s="3">
        <f t="shared" si="4"/>
        <v>1000</v>
      </c>
      <c r="F176" s="2">
        <f t="shared" si="5"/>
        <v>67647.26172</v>
      </c>
    </row>
    <row r="177">
      <c r="B177" s="3">
        <f t="shared" si="1"/>
        <v>0.064</v>
      </c>
      <c r="C177" s="3">
        <f t="shared" si="2"/>
        <v>12</v>
      </c>
      <c r="D177" s="11">
        <f t="shared" si="3"/>
        <v>14.58333333</v>
      </c>
      <c r="E177" s="3">
        <f t="shared" si="4"/>
        <v>1000</v>
      </c>
      <c r="F177" s="2">
        <f t="shared" si="5"/>
        <v>67008.04712</v>
      </c>
    </row>
    <row r="178">
      <c r="B178" s="3">
        <f t="shared" si="1"/>
        <v>0.064</v>
      </c>
      <c r="C178" s="3">
        <f t="shared" si="2"/>
        <v>12</v>
      </c>
      <c r="D178" s="11">
        <f t="shared" si="3"/>
        <v>14.66666667</v>
      </c>
      <c r="E178" s="3">
        <f t="shared" si="4"/>
        <v>1000</v>
      </c>
      <c r="F178" s="2">
        <f t="shared" si="5"/>
        <v>66365.42337</v>
      </c>
    </row>
    <row r="179">
      <c r="B179" s="3">
        <f t="shared" si="1"/>
        <v>0.064</v>
      </c>
      <c r="C179" s="3">
        <f t="shared" si="2"/>
        <v>12</v>
      </c>
      <c r="D179" s="11">
        <f t="shared" si="3"/>
        <v>14.75</v>
      </c>
      <c r="E179" s="3">
        <f t="shared" si="4"/>
        <v>1000</v>
      </c>
      <c r="F179" s="2">
        <f t="shared" si="5"/>
        <v>65719.3723</v>
      </c>
    </row>
    <row r="180">
      <c r="B180" s="3">
        <f t="shared" si="1"/>
        <v>0.064</v>
      </c>
      <c r="C180" s="3">
        <f t="shared" si="2"/>
        <v>12</v>
      </c>
      <c r="D180" s="11">
        <f t="shared" si="3"/>
        <v>14.83333333</v>
      </c>
      <c r="E180" s="3">
        <f t="shared" si="4"/>
        <v>1000</v>
      </c>
      <c r="F180" s="2">
        <f t="shared" si="5"/>
        <v>65069.87562</v>
      </c>
    </row>
    <row r="181">
      <c r="B181" s="3">
        <f t="shared" si="1"/>
        <v>0.064</v>
      </c>
      <c r="C181" s="3">
        <f t="shared" si="2"/>
        <v>12</v>
      </c>
      <c r="D181" s="11">
        <f t="shared" si="3"/>
        <v>14.91666667</v>
      </c>
      <c r="E181" s="3">
        <f t="shared" si="4"/>
        <v>1000</v>
      </c>
      <c r="F181" s="2">
        <f t="shared" si="5"/>
        <v>64416.91495</v>
      </c>
    </row>
    <row r="182">
      <c r="B182" s="3">
        <f t="shared" si="1"/>
        <v>0.064</v>
      </c>
      <c r="C182" s="3">
        <f t="shared" si="2"/>
        <v>12</v>
      </c>
      <c r="D182" s="11">
        <f t="shared" si="3"/>
        <v>15</v>
      </c>
      <c r="E182" s="3">
        <f t="shared" si="4"/>
        <v>1000</v>
      </c>
      <c r="F182" s="2">
        <f t="shared" si="5"/>
        <v>63760.47183</v>
      </c>
    </row>
    <row r="183">
      <c r="B183" s="3">
        <f t="shared" si="1"/>
        <v>0.064</v>
      </c>
      <c r="C183" s="3">
        <f t="shared" si="2"/>
        <v>12</v>
      </c>
      <c r="D183" s="11">
        <f t="shared" si="3"/>
        <v>15.08333333</v>
      </c>
      <c r="E183" s="3">
        <f t="shared" si="4"/>
        <v>1000</v>
      </c>
      <c r="F183" s="2">
        <f t="shared" si="5"/>
        <v>63100.52768</v>
      </c>
    </row>
    <row r="184">
      <c r="B184" s="3">
        <f t="shared" si="1"/>
        <v>0.064</v>
      </c>
      <c r="C184" s="3">
        <f t="shared" si="2"/>
        <v>12</v>
      </c>
      <c r="D184" s="11">
        <f t="shared" si="3"/>
        <v>15.16666667</v>
      </c>
      <c r="E184" s="3">
        <f t="shared" si="4"/>
        <v>1000</v>
      </c>
      <c r="F184" s="2">
        <f t="shared" si="5"/>
        <v>62437.06383</v>
      </c>
    </row>
    <row r="185">
      <c r="B185" s="3">
        <f t="shared" si="1"/>
        <v>0.064</v>
      </c>
      <c r="C185" s="3">
        <f t="shared" si="2"/>
        <v>12</v>
      </c>
      <c r="D185" s="11">
        <f t="shared" si="3"/>
        <v>15.25</v>
      </c>
      <c r="E185" s="3">
        <f t="shared" si="4"/>
        <v>1000</v>
      </c>
      <c r="F185" s="2">
        <f t="shared" si="5"/>
        <v>61770.0615</v>
      </c>
    </row>
    <row r="186">
      <c r="B186" s="3">
        <f t="shared" si="1"/>
        <v>0.064</v>
      </c>
      <c r="C186" s="3">
        <f t="shared" si="2"/>
        <v>12</v>
      </c>
      <c r="D186" s="11">
        <f t="shared" si="3"/>
        <v>15.33333333</v>
      </c>
      <c r="E186" s="3">
        <f t="shared" si="4"/>
        <v>1000</v>
      </c>
      <c r="F186" s="2">
        <f t="shared" si="5"/>
        <v>61099.50183</v>
      </c>
    </row>
    <row r="187">
      <c r="B187" s="3">
        <f t="shared" si="1"/>
        <v>0.064</v>
      </c>
      <c r="C187" s="3">
        <f t="shared" si="2"/>
        <v>12</v>
      </c>
      <c r="D187" s="11">
        <f t="shared" si="3"/>
        <v>15.41666667</v>
      </c>
      <c r="E187" s="3">
        <f t="shared" si="4"/>
        <v>1000</v>
      </c>
      <c r="F187" s="2">
        <f t="shared" si="5"/>
        <v>60425.36584</v>
      </c>
    </row>
    <row r="188">
      <c r="B188" s="3">
        <f t="shared" si="1"/>
        <v>0.064</v>
      </c>
      <c r="C188" s="3">
        <f t="shared" si="2"/>
        <v>12</v>
      </c>
      <c r="D188" s="11">
        <f t="shared" si="3"/>
        <v>15.5</v>
      </c>
      <c r="E188" s="3">
        <f t="shared" si="4"/>
        <v>1000</v>
      </c>
      <c r="F188" s="2">
        <f t="shared" si="5"/>
        <v>59747.63446</v>
      </c>
    </row>
    <row r="189">
      <c r="B189" s="3">
        <f t="shared" si="1"/>
        <v>0.064</v>
      </c>
      <c r="C189" s="3">
        <f t="shared" si="2"/>
        <v>12</v>
      </c>
      <c r="D189" s="11">
        <f t="shared" si="3"/>
        <v>15.58333333</v>
      </c>
      <c r="E189" s="3">
        <f t="shared" si="4"/>
        <v>1000</v>
      </c>
      <c r="F189" s="2">
        <f t="shared" si="5"/>
        <v>59066.28851</v>
      </c>
    </row>
    <row r="190">
      <c r="B190" s="3">
        <f t="shared" si="1"/>
        <v>0.064</v>
      </c>
      <c r="C190" s="3">
        <f t="shared" si="2"/>
        <v>12</v>
      </c>
      <c r="D190" s="11">
        <f t="shared" si="3"/>
        <v>15.66666667</v>
      </c>
      <c r="E190" s="3">
        <f t="shared" si="4"/>
        <v>1000</v>
      </c>
      <c r="F190" s="2">
        <f t="shared" si="5"/>
        <v>58381.30871</v>
      </c>
    </row>
    <row r="191">
      <c r="B191" s="3">
        <f t="shared" si="1"/>
        <v>0.064</v>
      </c>
      <c r="C191" s="3">
        <f t="shared" si="2"/>
        <v>12</v>
      </c>
      <c r="D191" s="11">
        <f t="shared" si="3"/>
        <v>15.75</v>
      </c>
      <c r="E191" s="3">
        <f t="shared" si="4"/>
        <v>1000</v>
      </c>
      <c r="F191" s="2">
        <f t="shared" si="5"/>
        <v>57692.67569</v>
      </c>
    </row>
    <row r="192">
      <c r="B192" s="3">
        <f t="shared" si="1"/>
        <v>0.064</v>
      </c>
      <c r="C192" s="3">
        <f t="shared" si="2"/>
        <v>12</v>
      </c>
      <c r="D192" s="11">
        <f t="shared" si="3"/>
        <v>15.83333333</v>
      </c>
      <c r="E192" s="3">
        <f t="shared" si="4"/>
        <v>1000</v>
      </c>
      <c r="F192" s="2">
        <f t="shared" si="5"/>
        <v>57000.36996</v>
      </c>
    </row>
    <row r="193">
      <c r="B193" s="3">
        <f t="shared" si="1"/>
        <v>0.064</v>
      </c>
      <c r="C193" s="3">
        <f t="shared" si="2"/>
        <v>12</v>
      </c>
      <c r="D193" s="11">
        <f t="shared" si="3"/>
        <v>15.91666667</v>
      </c>
      <c r="E193" s="3">
        <f t="shared" si="4"/>
        <v>1000</v>
      </c>
      <c r="F193" s="2">
        <f t="shared" si="5"/>
        <v>56304.37194</v>
      </c>
    </row>
    <row r="194">
      <c r="B194" s="3">
        <f t="shared" si="1"/>
        <v>0.064</v>
      </c>
      <c r="C194" s="3">
        <f t="shared" si="2"/>
        <v>12</v>
      </c>
      <c r="D194" s="11">
        <f t="shared" si="3"/>
        <v>16</v>
      </c>
      <c r="E194" s="3">
        <f t="shared" si="4"/>
        <v>1000</v>
      </c>
      <c r="F194" s="2">
        <f t="shared" si="5"/>
        <v>55604.66192</v>
      </c>
    </row>
    <row r="195">
      <c r="B195" s="3">
        <f t="shared" si="1"/>
        <v>0.064</v>
      </c>
      <c r="C195" s="3">
        <f t="shared" si="2"/>
        <v>12</v>
      </c>
      <c r="D195" s="11">
        <f t="shared" si="3"/>
        <v>16.08333333</v>
      </c>
      <c r="E195" s="3">
        <f t="shared" si="4"/>
        <v>1000</v>
      </c>
      <c r="F195" s="2">
        <f t="shared" si="5"/>
        <v>54901.22012</v>
      </c>
    </row>
    <row r="196">
      <c r="B196" s="3">
        <f t="shared" si="1"/>
        <v>0.064</v>
      </c>
      <c r="C196" s="3">
        <f t="shared" si="2"/>
        <v>12</v>
      </c>
      <c r="D196" s="11">
        <f t="shared" si="3"/>
        <v>16.16666667</v>
      </c>
      <c r="E196" s="3">
        <f t="shared" si="4"/>
        <v>1000</v>
      </c>
      <c r="F196" s="2">
        <f t="shared" si="5"/>
        <v>54194.02663</v>
      </c>
    </row>
    <row r="197">
      <c r="B197" s="3">
        <f t="shared" si="1"/>
        <v>0.064</v>
      </c>
      <c r="C197" s="3">
        <f t="shared" si="2"/>
        <v>12</v>
      </c>
      <c r="D197" s="11">
        <f t="shared" si="3"/>
        <v>16.25</v>
      </c>
      <c r="E197" s="3">
        <f t="shared" si="4"/>
        <v>1000</v>
      </c>
      <c r="F197" s="2">
        <f t="shared" si="5"/>
        <v>53483.06143</v>
      </c>
    </row>
    <row r="198">
      <c r="B198" s="3">
        <f t="shared" si="1"/>
        <v>0.064</v>
      </c>
      <c r="C198" s="3">
        <f t="shared" si="2"/>
        <v>12</v>
      </c>
      <c r="D198" s="11">
        <f t="shared" si="3"/>
        <v>16.33333333</v>
      </c>
      <c r="E198" s="3">
        <f t="shared" si="4"/>
        <v>1000</v>
      </c>
      <c r="F198" s="2">
        <f t="shared" si="5"/>
        <v>52768.30443</v>
      </c>
    </row>
    <row r="199">
      <c r="B199" s="3">
        <f t="shared" si="1"/>
        <v>0.064</v>
      </c>
      <c r="C199" s="3">
        <f t="shared" si="2"/>
        <v>12</v>
      </c>
      <c r="D199" s="11">
        <f t="shared" si="3"/>
        <v>16.41666667</v>
      </c>
      <c r="E199" s="3">
        <f t="shared" si="4"/>
        <v>1000</v>
      </c>
      <c r="F199" s="2">
        <f t="shared" si="5"/>
        <v>52049.73539</v>
      </c>
    </row>
    <row r="200">
      <c r="B200" s="3">
        <f t="shared" si="1"/>
        <v>0.064</v>
      </c>
      <c r="C200" s="3">
        <f t="shared" si="2"/>
        <v>12</v>
      </c>
      <c r="D200" s="11">
        <f t="shared" si="3"/>
        <v>16.5</v>
      </c>
      <c r="E200" s="3">
        <f t="shared" si="4"/>
        <v>1000</v>
      </c>
      <c r="F200" s="2">
        <f t="shared" si="5"/>
        <v>51327.33397</v>
      </c>
    </row>
    <row r="201">
      <c r="B201" s="3">
        <f t="shared" si="1"/>
        <v>0.064</v>
      </c>
      <c r="C201" s="3">
        <f t="shared" si="2"/>
        <v>12</v>
      </c>
      <c r="D201" s="11">
        <f t="shared" si="3"/>
        <v>16.58333333</v>
      </c>
      <c r="E201" s="3">
        <f t="shared" si="4"/>
        <v>1000</v>
      </c>
      <c r="F201" s="2">
        <f t="shared" si="5"/>
        <v>50601.07975</v>
      </c>
    </row>
    <row r="202">
      <c r="B202" s="3">
        <f t="shared" si="1"/>
        <v>0.064</v>
      </c>
      <c r="C202" s="3">
        <f t="shared" si="2"/>
        <v>12</v>
      </c>
      <c r="D202" s="11">
        <f t="shared" si="3"/>
        <v>16.66666667</v>
      </c>
      <c r="E202" s="3">
        <f t="shared" si="4"/>
        <v>1000</v>
      </c>
      <c r="F202" s="2">
        <f t="shared" si="5"/>
        <v>49870.95218</v>
      </c>
    </row>
    <row r="203">
      <c r="B203" s="3">
        <f t="shared" si="1"/>
        <v>0.064</v>
      </c>
      <c r="C203" s="3">
        <f t="shared" si="2"/>
        <v>12</v>
      </c>
      <c r="D203" s="11">
        <f t="shared" si="3"/>
        <v>16.75</v>
      </c>
      <c r="E203" s="3">
        <f t="shared" si="4"/>
        <v>1000</v>
      </c>
      <c r="F203" s="2">
        <f t="shared" si="5"/>
        <v>49136.93059</v>
      </c>
    </row>
    <row r="204">
      <c r="B204" s="3">
        <f t="shared" si="1"/>
        <v>0.064</v>
      </c>
      <c r="C204" s="3">
        <f t="shared" si="2"/>
        <v>12</v>
      </c>
      <c r="D204" s="11">
        <f t="shared" si="3"/>
        <v>16.83333333</v>
      </c>
      <c r="E204" s="3">
        <f t="shared" si="4"/>
        <v>1000</v>
      </c>
      <c r="F204" s="2">
        <f t="shared" si="5"/>
        <v>48398.99422</v>
      </c>
    </row>
    <row r="205">
      <c r="B205" s="3">
        <f t="shared" si="1"/>
        <v>0.064</v>
      </c>
      <c r="C205" s="3">
        <f t="shared" si="2"/>
        <v>12</v>
      </c>
      <c r="D205" s="11">
        <f t="shared" si="3"/>
        <v>16.91666667</v>
      </c>
      <c r="E205" s="3">
        <f t="shared" si="4"/>
        <v>1000</v>
      </c>
      <c r="F205" s="2">
        <f t="shared" si="5"/>
        <v>47657.12219</v>
      </c>
    </row>
    <row r="206">
      <c r="B206" s="3">
        <f t="shared" si="1"/>
        <v>0.064</v>
      </c>
      <c r="C206" s="3">
        <f t="shared" si="2"/>
        <v>12</v>
      </c>
      <c r="D206" s="11">
        <f t="shared" si="3"/>
        <v>17</v>
      </c>
      <c r="E206" s="3">
        <f t="shared" si="4"/>
        <v>1000</v>
      </c>
      <c r="F206" s="2">
        <f t="shared" si="5"/>
        <v>46911.29351</v>
      </c>
    </row>
    <row r="207">
      <c r="B207" s="3">
        <f t="shared" si="1"/>
        <v>0.064</v>
      </c>
      <c r="C207" s="3">
        <f t="shared" si="2"/>
        <v>12</v>
      </c>
      <c r="D207" s="11">
        <f t="shared" si="3"/>
        <v>17.08333333</v>
      </c>
      <c r="E207" s="3">
        <f t="shared" si="4"/>
        <v>1000</v>
      </c>
      <c r="F207" s="2">
        <f t="shared" si="5"/>
        <v>46161.48707</v>
      </c>
    </row>
    <row r="208">
      <c r="B208" s="3">
        <f t="shared" si="1"/>
        <v>0.064</v>
      </c>
      <c r="C208" s="3">
        <f t="shared" si="2"/>
        <v>12</v>
      </c>
      <c r="D208" s="11">
        <f t="shared" si="3"/>
        <v>17.16666667</v>
      </c>
      <c r="E208" s="3">
        <f t="shared" si="4"/>
        <v>1000</v>
      </c>
      <c r="F208" s="2">
        <f t="shared" si="5"/>
        <v>45407.68167</v>
      </c>
    </row>
    <row r="209">
      <c r="B209" s="3">
        <f t="shared" si="1"/>
        <v>0.064</v>
      </c>
      <c r="C209" s="3">
        <f t="shared" si="2"/>
        <v>12</v>
      </c>
      <c r="D209" s="11">
        <f t="shared" si="3"/>
        <v>17.25</v>
      </c>
      <c r="E209" s="3">
        <f t="shared" si="4"/>
        <v>1000</v>
      </c>
      <c r="F209" s="2">
        <f t="shared" si="5"/>
        <v>44649.85597</v>
      </c>
    </row>
    <row r="210">
      <c r="B210" s="3">
        <f t="shared" si="1"/>
        <v>0.064</v>
      </c>
      <c r="C210" s="3">
        <f t="shared" si="2"/>
        <v>12</v>
      </c>
      <c r="D210" s="11">
        <f t="shared" si="3"/>
        <v>17.33333333</v>
      </c>
      <c r="E210" s="3">
        <f t="shared" si="4"/>
        <v>1000</v>
      </c>
      <c r="F210" s="2">
        <f t="shared" si="5"/>
        <v>43887.98854</v>
      </c>
    </row>
    <row r="211">
      <c r="B211" s="3">
        <f t="shared" si="1"/>
        <v>0.064</v>
      </c>
      <c r="C211" s="3">
        <f t="shared" si="2"/>
        <v>12</v>
      </c>
      <c r="D211" s="11">
        <f t="shared" si="3"/>
        <v>17.41666667</v>
      </c>
      <c r="E211" s="3">
        <f t="shared" si="4"/>
        <v>1000</v>
      </c>
      <c r="F211" s="2">
        <f t="shared" si="5"/>
        <v>43122.05781</v>
      </c>
    </row>
    <row r="212">
      <c r="B212" s="3">
        <f t="shared" si="1"/>
        <v>0.064</v>
      </c>
      <c r="C212" s="3">
        <f t="shared" si="2"/>
        <v>12</v>
      </c>
      <c r="D212" s="11">
        <f t="shared" si="3"/>
        <v>17.5</v>
      </c>
      <c r="E212" s="3">
        <f t="shared" si="4"/>
        <v>1000</v>
      </c>
      <c r="F212" s="2">
        <f t="shared" si="5"/>
        <v>42352.04212</v>
      </c>
    </row>
    <row r="213">
      <c r="B213" s="3">
        <f t="shared" si="1"/>
        <v>0.064</v>
      </c>
      <c r="C213" s="3">
        <f t="shared" si="2"/>
        <v>12</v>
      </c>
      <c r="D213" s="11">
        <f t="shared" si="3"/>
        <v>17.58333333</v>
      </c>
      <c r="E213" s="3">
        <f t="shared" si="4"/>
        <v>1000</v>
      </c>
      <c r="F213" s="2">
        <f t="shared" si="5"/>
        <v>41577.91968</v>
      </c>
    </row>
    <row r="214">
      <c r="B214" s="3">
        <f t="shared" si="1"/>
        <v>0.064</v>
      </c>
      <c r="C214" s="3">
        <f t="shared" si="2"/>
        <v>12</v>
      </c>
      <c r="D214" s="11">
        <f t="shared" si="3"/>
        <v>17.66666667</v>
      </c>
      <c r="E214" s="3">
        <f t="shared" si="4"/>
        <v>1000</v>
      </c>
      <c r="F214" s="2">
        <f t="shared" si="5"/>
        <v>40799.66858</v>
      </c>
    </row>
    <row r="215">
      <c r="B215" s="3">
        <f t="shared" si="1"/>
        <v>0.064</v>
      </c>
      <c r="C215" s="3">
        <f t="shared" si="2"/>
        <v>12</v>
      </c>
      <c r="D215" s="11">
        <f t="shared" si="3"/>
        <v>17.75</v>
      </c>
      <c r="E215" s="3">
        <f t="shared" si="4"/>
        <v>1000</v>
      </c>
      <c r="F215" s="2">
        <f t="shared" si="5"/>
        <v>40017.26682</v>
      </c>
    </row>
    <row r="216">
      <c r="B216" s="3">
        <f t="shared" si="1"/>
        <v>0.064</v>
      </c>
      <c r="C216" s="3">
        <f t="shared" si="2"/>
        <v>12</v>
      </c>
      <c r="D216" s="11">
        <f t="shared" si="3"/>
        <v>17.83333333</v>
      </c>
      <c r="E216" s="3">
        <f t="shared" si="4"/>
        <v>1000</v>
      </c>
      <c r="F216" s="2">
        <f t="shared" si="5"/>
        <v>39230.69224</v>
      </c>
    </row>
    <row r="217">
      <c r="B217" s="3">
        <f t="shared" si="1"/>
        <v>0.064</v>
      </c>
      <c r="C217" s="3">
        <f t="shared" si="2"/>
        <v>12</v>
      </c>
      <c r="D217" s="11">
        <f t="shared" si="3"/>
        <v>17.91666667</v>
      </c>
      <c r="E217" s="3">
        <f t="shared" si="4"/>
        <v>1000</v>
      </c>
      <c r="F217" s="2">
        <f t="shared" si="5"/>
        <v>38439.9226</v>
      </c>
    </row>
    <row r="218">
      <c r="B218" s="3">
        <f t="shared" si="1"/>
        <v>0.064</v>
      </c>
      <c r="C218" s="3">
        <f t="shared" si="2"/>
        <v>12</v>
      </c>
      <c r="D218" s="11">
        <f t="shared" si="3"/>
        <v>18</v>
      </c>
      <c r="E218" s="3">
        <f t="shared" si="4"/>
        <v>1000</v>
      </c>
      <c r="F218" s="2">
        <f t="shared" si="5"/>
        <v>37644.93552</v>
      </c>
    </row>
    <row r="219">
      <c r="B219" s="3">
        <f t="shared" si="1"/>
        <v>0.064</v>
      </c>
      <c r="C219" s="3">
        <f t="shared" si="2"/>
        <v>12</v>
      </c>
      <c r="D219" s="11">
        <f t="shared" si="3"/>
        <v>18.08333333</v>
      </c>
      <c r="E219" s="3">
        <f t="shared" si="4"/>
        <v>1000</v>
      </c>
      <c r="F219" s="2">
        <f t="shared" si="5"/>
        <v>36845.70851</v>
      </c>
    </row>
    <row r="220">
      <c r="B220" s="3">
        <f t="shared" si="1"/>
        <v>0.064</v>
      </c>
      <c r="C220" s="3">
        <f t="shared" si="2"/>
        <v>12</v>
      </c>
      <c r="D220" s="11">
        <f t="shared" si="3"/>
        <v>18.16666667</v>
      </c>
      <c r="E220" s="3">
        <f t="shared" si="4"/>
        <v>1000</v>
      </c>
      <c r="F220" s="2">
        <f t="shared" si="5"/>
        <v>36042.21895</v>
      </c>
    </row>
    <row r="221">
      <c r="B221" s="3">
        <f t="shared" si="1"/>
        <v>0.064</v>
      </c>
      <c r="C221" s="3">
        <f t="shared" si="2"/>
        <v>12</v>
      </c>
      <c r="D221" s="11">
        <f t="shared" si="3"/>
        <v>18.25</v>
      </c>
      <c r="E221" s="3">
        <f t="shared" si="4"/>
        <v>1000</v>
      </c>
      <c r="F221" s="2">
        <f t="shared" si="5"/>
        <v>35234.44412</v>
      </c>
    </row>
    <row r="222">
      <c r="B222" s="3">
        <f t="shared" si="1"/>
        <v>0.064</v>
      </c>
      <c r="C222" s="3">
        <f t="shared" si="2"/>
        <v>12</v>
      </c>
      <c r="D222" s="11">
        <f t="shared" si="3"/>
        <v>18.33333333</v>
      </c>
      <c r="E222" s="3">
        <f t="shared" si="4"/>
        <v>1000</v>
      </c>
      <c r="F222" s="2">
        <f t="shared" si="5"/>
        <v>34422.36116</v>
      </c>
    </row>
    <row r="223">
      <c r="B223" s="3">
        <f t="shared" si="1"/>
        <v>0.064</v>
      </c>
      <c r="C223" s="3">
        <f t="shared" si="2"/>
        <v>12</v>
      </c>
      <c r="D223" s="11">
        <f t="shared" si="3"/>
        <v>18.41666667</v>
      </c>
      <c r="E223" s="3">
        <f t="shared" si="4"/>
        <v>1000</v>
      </c>
      <c r="F223" s="2">
        <f t="shared" si="5"/>
        <v>33605.94708</v>
      </c>
    </row>
    <row r="224">
      <c r="B224" s="3">
        <f t="shared" si="1"/>
        <v>0.064</v>
      </c>
      <c r="C224" s="3">
        <f t="shared" si="2"/>
        <v>12</v>
      </c>
      <c r="D224" s="11">
        <f t="shared" si="3"/>
        <v>18.5</v>
      </c>
      <c r="E224" s="3">
        <f t="shared" si="4"/>
        <v>1000</v>
      </c>
      <c r="F224" s="2">
        <f t="shared" si="5"/>
        <v>32785.1788</v>
      </c>
    </row>
    <row r="225">
      <c r="B225" s="3">
        <f t="shared" si="1"/>
        <v>0.064</v>
      </c>
      <c r="C225" s="3">
        <f t="shared" si="2"/>
        <v>12</v>
      </c>
      <c r="D225" s="11">
        <f t="shared" si="3"/>
        <v>18.58333333</v>
      </c>
      <c r="E225" s="3">
        <f t="shared" si="4"/>
        <v>1000</v>
      </c>
      <c r="F225" s="2">
        <f t="shared" si="5"/>
        <v>31960.03309</v>
      </c>
    </row>
    <row r="226">
      <c r="B226" s="3">
        <f t="shared" si="1"/>
        <v>0.064</v>
      </c>
      <c r="C226" s="3">
        <f t="shared" si="2"/>
        <v>12</v>
      </c>
      <c r="D226" s="11">
        <f t="shared" si="3"/>
        <v>18.66666667</v>
      </c>
      <c r="E226" s="3">
        <f t="shared" si="4"/>
        <v>1000</v>
      </c>
      <c r="F226" s="2">
        <f t="shared" si="5"/>
        <v>31130.4866</v>
      </c>
    </row>
    <row r="227">
      <c r="B227" s="3">
        <f t="shared" si="1"/>
        <v>0.064</v>
      </c>
      <c r="C227" s="3">
        <f t="shared" si="2"/>
        <v>12</v>
      </c>
      <c r="D227" s="11">
        <f t="shared" si="3"/>
        <v>18.75</v>
      </c>
      <c r="E227" s="3">
        <f t="shared" si="4"/>
        <v>1000</v>
      </c>
      <c r="F227" s="2">
        <f t="shared" si="5"/>
        <v>30296.51586</v>
      </c>
    </row>
    <row r="228">
      <c r="B228" s="3">
        <f t="shared" si="1"/>
        <v>0.064</v>
      </c>
      <c r="C228" s="3">
        <f t="shared" si="2"/>
        <v>12</v>
      </c>
      <c r="D228" s="11">
        <f t="shared" si="3"/>
        <v>18.83333333</v>
      </c>
      <c r="E228" s="3">
        <f t="shared" si="4"/>
        <v>1000</v>
      </c>
      <c r="F228" s="2">
        <f t="shared" si="5"/>
        <v>29458.09728</v>
      </c>
    </row>
    <row r="229">
      <c r="B229" s="3">
        <f t="shared" si="1"/>
        <v>0.064</v>
      </c>
      <c r="C229" s="3">
        <f t="shared" si="2"/>
        <v>12</v>
      </c>
      <c r="D229" s="11">
        <f t="shared" si="3"/>
        <v>18.91666667</v>
      </c>
      <c r="E229" s="3">
        <f t="shared" si="4"/>
        <v>1000</v>
      </c>
      <c r="F229" s="2">
        <f t="shared" si="5"/>
        <v>28615.20713</v>
      </c>
    </row>
    <row r="230">
      <c r="B230" s="3">
        <f t="shared" si="1"/>
        <v>0.064</v>
      </c>
      <c r="C230" s="3">
        <f t="shared" si="2"/>
        <v>12</v>
      </c>
      <c r="D230" s="11">
        <f t="shared" si="3"/>
        <v>19</v>
      </c>
      <c r="E230" s="3">
        <f t="shared" si="4"/>
        <v>1000</v>
      </c>
      <c r="F230" s="2">
        <f t="shared" si="5"/>
        <v>27767.82157</v>
      </c>
    </row>
    <row r="231">
      <c r="B231" s="3">
        <f t="shared" si="1"/>
        <v>0.064</v>
      </c>
      <c r="C231" s="3">
        <f t="shared" si="2"/>
        <v>12</v>
      </c>
      <c r="D231" s="11">
        <f t="shared" si="3"/>
        <v>19.08333333</v>
      </c>
      <c r="E231" s="3">
        <f t="shared" si="4"/>
        <v>1000</v>
      </c>
      <c r="F231" s="2">
        <f t="shared" si="5"/>
        <v>26915.91661</v>
      </c>
    </row>
    <row r="232">
      <c r="B232" s="3">
        <f t="shared" si="1"/>
        <v>0.064</v>
      </c>
      <c r="C232" s="3">
        <f t="shared" si="2"/>
        <v>12</v>
      </c>
      <c r="D232" s="11">
        <f t="shared" si="3"/>
        <v>19.16666667</v>
      </c>
      <c r="E232" s="3">
        <f t="shared" si="4"/>
        <v>1000</v>
      </c>
      <c r="F232" s="2">
        <f t="shared" si="5"/>
        <v>26059.46817</v>
      </c>
    </row>
    <row r="233">
      <c r="B233" s="3">
        <f t="shared" si="1"/>
        <v>0.064</v>
      </c>
      <c r="C233" s="3">
        <f t="shared" si="2"/>
        <v>12</v>
      </c>
      <c r="D233" s="11">
        <f t="shared" si="3"/>
        <v>19.25</v>
      </c>
      <c r="E233" s="3">
        <f t="shared" si="4"/>
        <v>1000</v>
      </c>
      <c r="F233" s="2">
        <f t="shared" si="5"/>
        <v>25198.452</v>
      </c>
    </row>
    <row r="234">
      <c r="B234" s="3">
        <f t="shared" si="1"/>
        <v>0.064</v>
      </c>
      <c r="C234" s="3">
        <f t="shared" si="2"/>
        <v>12</v>
      </c>
      <c r="D234" s="11">
        <f t="shared" si="3"/>
        <v>19.33333333</v>
      </c>
      <c r="E234" s="3">
        <f t="shared" si="4"/>
        <v>1000</v>
      </c>
      <c r="F234" s="2">
        <f t="shared" si="5"/>
        <v>24332.84374</v>
      </c>
    </row>
    <row r="235">
      <c r="B235" s="3">
        <f t="shared" si="1"/>
        <v>0.064</v>
      </c>
      <c r="C235" s="3">
        <f t="shared" si="2"/>
        <v>12</v>
      </c>
      <c r="D235" s="11">
        <f t="shared" si="3"/>
        <v>19.41666667</v>
      </c>
      <c r="E235" s="3">
        <f t="shared" si="4"/>
        <v>1000</v>
      </c>
      <c r="F235" s="2">
        <f t="shared" si="5"/>
        <v>23462.61891</v>
      </c>
    </row>
    <row r="236">
      <c r="B236" s="3">
        <f t="shared" si="1"/>
        <v>0.064</v>
      </c>
      <c r="C236" s="3">
        <f t="shared" si="2"/>
        <v>12</v>
      </c>
      <c r="D236" s="11">
        <f t="shared" si="3"/>
        <v>19.5</v>
      </c>
      <c r="E236" s="3">
        <f t="shared" si="4"/>
        <v>1000</v>
      </c>
      <c r="F236" s="2">
        <f t="shared" si="5"/>
        <v>22587.75288</v>
      </c>
    </row>
    <row r="237">
      <c r="B237" s="3">
        <f t="shared" si="1"/>
        <v>0.064</v>
      </c>
      <c r="C237" s="3">
        <f t="shared" si="2"/>
        <v>12</v>
      </c>
      <c r="D237" s="11">
        <f t="shared" si="3"/>
        <v>19.58333333</v>
      </c>
      <c r="E237" s="3">
        <f t="shared" si="4"/>
        <v>1000</v>
      </c>
      <c r="F237" s="2">
        <f t="shared" si="5"/>
        <v>21708.22089</v>
      </c>
    </row>
    <row r="238">
      <c r="B238" s="3">
        <f t="shared" si="1"/>
        <v>0.064</v>
      </c>
      <c r="C238" s="3">
        <f t="shared" si="2"/>
        <v>12</v>
      </c>
      <c r="D238" s="11">
        <f t="shared" si="3"/>
        <v>19.66666667</v>
      </c>
      <c r="E238" s="3">
        <f t="shared" si="4"/>
        <v>1000</v>
      </c>
      <c r="F238" s="2">
        <f t="shared" si="5"/>
        <v>20823.99807</v>
      </c>
    </row>
    <row r="239">
      <c r="B239" s="3">
        <f t="shared" si="1"/>
        <v>0.064</v>
      </c>
      <c r="C239" s="3">
        <f t="shared" si="2"/>
        <v>12</v>
      </c>
      <c r="D239" s="11">
        <f t="shared" si="3"/>
        <v>19.75</v>
      </c>
      <c r="E239" s="3">
        <f t="shared" si="4"/>
        <v>1000</v>
      </c>
      <c r="F239" s="2">
        <f t="shared" si="5"/>
        <v>19935.05939</v>
      </c>
    </row>
    <row r="240">
      <c r="B240" s="3">
        <f t="shared" si="1"/>
        <v>0.064</v>
      </c>
      <c r="C240" s="3">
        <f t="shared" si="2"/>
        <v>12</v>
      </c>
      <c r="D240" s="11">
        <f t="shared" si="3"/>
        <v>19.83333333</v>
      </c>
      <c r="E240" s="3">
        <f t="shared" si="4"/>
        <v>1000</v>
      </c>
      <c r="F240" s="2">
        <f t="shared" si="5"/>
        <v>19041.37971</v>
      </c>
    </row>
    <row r="241">
      <c r="B241" s="3">
        <f t="shared" si="1"/>
        <v>0.064</v>
      </c>
      <c r="C241" s="3">
        <f t="shared" si="2"/>
        <v>12</v>
      </c>
      <c r="D241" s="11">
        <f t="shared" si="3"/>
        <v>19.91666667</v>
      </c>
      <c r="E241" s="3">
        <f t="shared" si="4"/>
        <v>1000</v>
      </c>
      <c r="F241" s="2">
        <f t="shared" si="5"/>
        <v>18142.93374</v>
      </c>
    </row>
    <row r="242">
      <c r="B242" s="3">
        <f t="shared" si="1"/>
        <v>0.064</v>
      </c>
      <c r="C242" s="3">
        <f t="shared" si="2"/>
        <v>12</v>
      </c>
      <c r="D242" s="11">
        <f t="shared" si="3"/>
        <v>20</v>
      </c>
      <c r="E242" s="3">
        <f t="shared" si="4"/>
        <v>1000</v>
      </c>
      <c r="F242" s="2">
        <f t="shared" si="5"/>
        <v>17239.69605</v>
      </c>
    </row>
    <row r="243">
      <c r="B243" s="3">
        <f t="shared" si="1"/>
        <v>0.064</v>
      </c>
      <c r="C243" s="3">
        <f t="shared" si="2"/>
        <v>12</v>
      </c>
      <c r="D243" s="11">
        <f t="shared" si="3"/>
        <v>20.08333333</v>
      </c>
      <c r="E243" s="3">
        <f t="shared" si="4"/>
        <v>1000</v>
      </c>
      <c r="F243" s="2">
        <f t="shared" si="5"/>
        <v>16331.6411</v>
      </c>
    </row>
    <row r="244">
      <c r="B244" s="3">
        <f t="shared" si="1"/>
        <v>0.064</v>
      </c>
      <c r="C244" s="3">
        <f t="shared" si="2"/>
        <v>12</v>
      </c>
      <c r="D244" s="11">
        <f t="shared" si="3"/>
        <v>20.16666667</v>
      </c>
      <c r="E244" s="3">
        <f t="shared" si="4"/>
        <v>1000</v>
      </c>
      <c r="F244" s="2">
        <f t="shared" si="5"/>
        <v>15418.74318</v>
      </c>
    </row>
    <row r="245">
      <c r="B245" s="3">
        <f t="shared" si="1"/>
        <v>0.064</v>
      </c>
      <c r="C245" s="3">
        <f t="shared" si="2"/>
        <v>12</v>
      </c>
      <c r="D245" s="11">
        <f t="shared" si="3"/>
        <v>20.25</v>
      </c>
      <c r="E245" s="3">
        <f t="shared" si="4"/>
        <v>1000</v>
      </c>
      <c r="F245" s="2">
        <f t="shared" si="5"/>
        <v>14500.97648</v>
      </c>
    </row>
    <row r="246">
      <c r="B246" s="3">
        <f t="shared" si="1"/>
        <v>0.064</v>
      </c>
      <c r="C246" s="3">
        <f t="shared" si="2"/>
        <v>12</v>
      </c>
      <c r="D246" s="11">
        <f t="shared" si="3"/>
        <v>20.33333333</v>
      </c>
      <c r="E246" s="3">
        <f t="shared" si="4"/>
        <v>1000</v>
      </c>
      <c r="F246" s="2">
        <f t="shared" si="5"/>
        <v>13578.31502</v>
      </c>
    </row>
    <row r="247">
      <c r="B247" s="3">
        <f t="shared" si="1"/>
        <v>0.064</v>
      </c>
      <c r="C247" s="3">
        <f t="shared" si="2"/>
        <v>12</v>
      </c>
      <c r="D247" s="11">
        <f t="shared" si="3"/>
        <v>20.41666667</v>
      </c>
      <c r="E247" s="3">
        <f t="shared" si="4"/>
        <v>1000</v>
      </c>
      <c r="F247" s="2">
        <f t="shared" si="5"/>
        <v>12650.7327</v>
      </c>
    </row>
    <row r="248">
      <c r="B248" s="3">
        <f t="shared" si="1"/>
        <v>0.064</v>
      </c>
      <c r="C248" s="3">
        <f t="shared" si="2"/>
        <v>12</v>
      </c>
      <c r="D248" s="11">
        <f t="shared" si="3"/>
        <v>20.5</v>
      </c>
      <c r="E248" s="3">
        <f t="shared" si="4"/>
        <v>1000</v>
      </c>
      <c r="F248" s="2">
        <f t="shared" si="5"/>
        <v>11718.20327</v>
      </c>
    </row>
    <row r="249">
      <c r="B249" s="3">
        <f t="shared" si="1"/>
        <v>0.064</v>
      </c>
      <c r="C249" s="3">
        <f t="shared" si="2"/>
        <v>12</v>
      </c>
      <c r="D249" s="11">
        <f t="shared" si="3"/>
        <v>20.58333333</v>
      </c>
      <c r="E249" s="3">
        <f t="shared" si="4"/>
        <v>1000</v>
      </c>
      <c r="F249" s="2">
        <f t="shared" si="5"/>
        <v>10780.70036</v>
      </c>
    </row>
    <row r="250">
      <c r="B250" s="3">
        <f t="shared" si="1"/>
        <v>0.064</v>
      </c>
      <c r="C250" s="3">
        <f t="shared" si="2"/>
        <v>12</v>
      </c>
      <c r="D250" s="11">
        <f t="shared" si="3"/>
        <v>20.66666667</v>
      </c>
      <c r="E250" s="3">
        <f t="shared" si="4"/>
        <v>1000</v>
      </c>
      <c r="F250" s="2">
        <f t="shared" si="5"/>
        <v>9838.197427</v>
      </c>
    </row>
    <row r="251">
      <c r="B251" s="3">
        <f t="shared" si="1"/>
        <v>0.064</v>
      </c>
      <c r="C251" s="3">
        <f t="shared" si="2"/>
        <v>12</v>
      </c>
      <c r="D251" s="11">
        <f t="shared" si="3"/>
        <v>20.75</v>
      </c>
      <c r="E251" s="3">
        <f t="shared" si="4"/>
        <v>1000</v>
      </c>
      <c r="F251" s="2">
        <f t="shared" si="5"/>
        <v>8890.667813</v>
      </c>
    </row>
    <row r="252">
      <c r="B252" s="3">
        <f t="shared" si="1"/>
        <v>0.064</v>
      </c>
      <c r="C252" s="3">
        <f t="shared" si="2"/>
        <v>12</v>
      </c>
      <c r="D252" s="11">
        <f t="shared" si="3"/>
        <v>20.83333333</v>
      </c>
      <c r="E252" s="3">
        <f t="shared" si="4"/>
        <v>1000</v>
      </c>
      <c r="F252" s="2">
        <f t="shared" si="5"/>
        <v>7938.084708</v>
      </c>
    </row>
    <row r="253">
      <c r="B253" s="3">
        <f t="shared" si="1"/>
        <v>0.064</v>
      </c>
      <c r="C253" s="3">
        <f t="shared" si="2"/>
        <v>12</v>
      </c>
      <c r="D253" s="11">
        <f t="shared" si="3"/>
        <v>20.91666667</v>
      </c>
      <c r="E253" s="3">
        <f t="shared" si="4"/>
        <v>1000</v>
      </c>
      <c r="F253" s="2">
        <f t="shared" si="5"/>
        <v>6980.42116</v>
      </c>
    </row>
    <row r="254">
      <c r="B254" s="3">
        <f t="shared" si="1"/>
        <v>0.064</v>
      </c>
      <c r="C254" s="3">
        <f t="shared" si="2"/>
        <v>12</v>
      </c>
      <c r="D254" s="11">
        <f t="shared" si="3"/>
        <v>21</v>
      </c>
      <c r="E254" s="3">
        <f t="shared" si="4"/>
        <v>1000</v>
      </c>
      <c r="F254" s="2">
        <f t="shared" si="5"/>
        <v>6017.650073</v>
      </c>
    </row>
    <row r="255">
      <c r="B255" s="3">
        <f t="shared" si="1"/>
        <v>0.064</v>
      </c>
      <c r="C255" s="3">
        <f t="shared" si="2"/>
        <v>12</v>
      </c>
      <c r="D255" s="11">
        <f t="shared" si="3"/>
        <v>21.08333333</v>
      </c>
      <c r="E255" s="3">
        <f t="shared" si="4"/>
        <v>1000</v>
      </c>
      <c r="F255" s="2">
        <f t="shared" si="5"/>
        <v>5049.744207</v>
      </c>
    </row>
    <row r="256">
      <c r="B256" s="3">
        <f t="shared" si="1"/>
        <v>0.064</v>
      </c>
      <c r="C256" s="3">
        <f t="shared" si="2"/>
        <v>12</v>
      </c>
      <c r="D256" s="11">
        <f t="shared" si="3"/>
        <v>21.16666667</v>
      </c>
      <c r="E256" s="3">
        <f t="shared" si="4"/>
        <v>1000</v>
      </c>
      <c r="F256" s="2">
        <f t="shared" si="5"/>
        <v>4076.676176</v>
      </c>
    </row>
    <row r="257">
      <c r="B257" s="3">
        <f t="shared" si="1"/>
        <v>0.064</v>
      </c>
      <c r="C257" s="3">
        <f t="shared" si="2"/>
        <v>12</v>
      </c>
      <c r="D257" s="11">
        <f t="shared" si="3"/>
        <v>21.25</v>
      </c>
      <c r="E257" s="3">
        <f t="shared" si="4"/>
        <v>1000</v>
      </c>
      <c r="F257" s="2">
        <f t="shared" si="5"/>
        <v>3098.418449</v>
      </c>
    </row>
    <row r="258">
      <c r="B258" s="3">
        <f t="shared" si="1"/>
        <v>0.064</v>
      </c>
      <c r="C258" s="3">
        <f t="shared" si="2"/>
        <v>12</v>
      </c>
      <c r="D258" s="11">
        <f t="shared" si="3"/>
        <v>21.33333333</v>
      </c>
      <c r="E258" s="3">
        <f t="shared" si="4"/>
        <v>1000</v>
      </c>
      <c r="F258" s="2">
        <f t="shared" si="5"/>
        <v>2114.943347</v>
      </c>
    </row>
    <row r="259">
      <c r="B259" s="3">
        <f t="shared" si="1"/>
        <v>0.064</v>
      </c>
      <c r="C259" s="3">
        <f t="shared" si="2"/>
        <v>12</v>
      </c>
      <c r="D259" s="11">
        <f t="shared" si="3"/>
        <v>21.41666667</v>
      </c>
      <c r="E259" s="3">
        <f t="shared" si="4"/>
        <v>1000</v>
      </c>
      <c r="F259" s="2">
        <f t="shared" si="5"/>
        <v>1126.223045</v>
      </c>
    </row>
    <row r="260">
      <c r="B260" s="3">
        <f t="shared" si="1"/>
        <v>0.064</v>
      </c>
      <c r="C260" s="3">
        <f t="shared" si="2"/>
        <v>12</v>
      </c>
      <c r="D260" s="11">
        <f t="shared" si="3"/>
        <v>21.5</v>
      </c>
      <c r="E260" s="3">
        <f t="shared" si="4"/>
        <v>1000</v>
      </c>
      <c r="F260" s="2">
        <f t="shared" si="5"/>
        <v>132.2295678</v>
      </c>
    </row>
    <row r="261">
      <c r="B261" s="3">
        <f t="shared" si="1"/>
        <v>0.064</v>
      </c>
      <c r="C261" s="3">
        <f t="shared" si="2"/>
        <v>12</v>
      </c>
      <c r="D261" s="11">
        <f t="shared" si="3"/>
        <v>21.58333333</v>
      </c>
      <c r="E261" s="3">
        <f t="shared" si="4"/>
        <v>1000</v>
      </c>
      <c r="F261" s="2">
        <f t="shared" si="5"/>
        <v>-867.0652079</v>
      </c>
    </row>
    <row r="262">
      <c r="B262" s="3">
        <f t="shared" si="1"/>
        <v>0.064</v>
      </c>
      <c r="C262" s="3">
        <f t="shared" si="2"/>
        <v>12</v>
      </c>
      <c r="D262" s="11">
        <f t="shared" si="3"/>
        <v>21.66666667</v>
      </c>
      <c r="E262" s="3">
        <f t="shared" si="4"/>
        <v>1000</v>
      </c>
      <c r="F262" s="2">
        <f t="shared" si="5"/>
        <v>-1871.689556</v>
      </c>
    </row>
    <row r="263">
      <c r="B263" s="3">
        <f t="shared" si="1"/>
        <v>0.064</v>
      </c>
      <c r="C263" s="3">
        <f t="shared" si="2"/>
        <v>12</v>
      </c>
      <c r="D263" s="11">
        <f t="shared" si="3"/>
        <v>21.75</v>
      </c>
      <c r="E263" s="3">
        <f t="shared" si="4"/>
        <v>1000</v>
      </c>
      <c r="F263" s="2">
        <f t="shared" si="5"/>
        <v>-2881.6719</v>
      </c>
    </row>
    <row r="264">
      <c r="B264" s="3">
        <f t="shared" si="1"/>
        <v>0.064</v>
      </c>
      <c r="C264" s="3">
        <f t="shared" si="2"/>
        <v>12</v>
      </c>
      <c r="D264" s="11">
        <f t="shared" si="3"/>
        <v>21.83333333</v>
      </c>
      <c r="E264" s="3">
        <f t="shared" si="4"/>
        <v>1000</v>
      </c>
      <c r="F264" s="2">
        <f t="shared" si="5"/>
        <v>-3897.040817</v>
      </c>
    </row>
    <row r="265">
      <c r="B265" s="3">
        <f t="shared" si="1"/>
        <v>0.064</v>
      </c>
      <c r="C265" s="3">
        <f t="shared" si="2"/>
        <v>12</v>
      </c>
      <c r="D265" s="11">
        <f t="shared" si="3"/>
        <v>21.91666667</v>
      </c>
      <c r="E265" s="3">
        <f t="shared" si="4"/>
        <v>1000</v>
      </c>
      <c r="F265" s="2">
        <f t="shared" si="5"/>
        <v>-4917.825034</v>
      </c>
    </row>
    <row r="266">
      <c r="B266" s="3">
        <f t="shared" si="1"/>
        <v>0.064</v>
      </c>
      <c r="C266" s="3">
        <f t="shared" si="2"/>
        <v>12</v>
      </c>
      <c r="D266" s="11">
        <f t="shared" si="3"/>
        <v>22</v>
      </c>
      <c r="E266" s="3">
        <f t="shared" si="4"/>
        <v>1000</v>
      </c>
      <c r="F266" s="2">
        <f t="shared" si="5"/>
        <v>-5944.053435</v>
      </c>
    </row>
    <row r="267">
      <c r="B267" s="3">
        <f t="shared" si="1"/>
        <v>0.064</v>
      </c>
      <c r="C267" s="3">
        <f t="shared" si="2"/>
        <v>12</v>
      </c>
      <c r="D267" s="11">
        <f t="shared" si="3"/>
        <v>22.08333333</v>
      </c>
      <c r="E267" s="3">
        <f t="shared" si="4"/>
        <v>1000</v>
      </c>
      <c r="F267" s="2">
        <f t="shared" si="5"/>
        <v>-6975.755053</v>
      </c>
    </row>
    <row r="268">
      <c r="B268" s="3">
        <f t="shared" si="1"/>
        <v>0.064</v>
      </c>
      <c r="C268" s="3">
        <f t="shared" si="2"/>
        <v>12</v>
      </c>
      <c r="D268" s="11">
        <f t="shared" si="3"/>
        <v>22.16666667</v>
      </c>
      <c r="E268" s="3">
        <f t="shared" si="4"/>
        <v>1000</v>
      </c>
      <c r="F268" s="2">
        <f t="shared" si="5"/>
        <v>-8012.95908</v>
      </c>
    </row>
    <row r="269">
      <c r="B269" s="3">
        <f t="shared" si="1"/>
        <v>0.064</v>
      </c>
      <c r="C269" s="3">
        <f t="shared" si="2"/>
        <v>12</v>
      </c>
      <c r="D269" s="11">
        <f t="shared" si="3"/>
        <v>22.25</v>
      </c>
      <c r="E269" s="3">
        <f t="shared" si="4"/>
        <v>1000</v>
      </c>
      <c r="F269" s="2">
        <f t="shared" si="5"/>
        <v>-9055.694862</v>
      </c>
    </row>
    <row r="270">
      <c r="B270" s="3">
        <f t="shared" si="1"/>
        <v>0.064</v>
      </c>
      <c r="C270" s="3">
        <f t="shared" si="2"/>
        <v>12</v>
      </c>
      <c r="D270" s="11">
        <f t="shared" si="3"/>
        <v>22.33333333</v>
      </c>
      <c r="E270" s="3">
        <f t="shared" si="4"/>
        <v>1000</v>
      </c>
      <c r="F270" s="2">
        <f t="shared" si="5"/>
        <v>-10103.9919</v>
      </c>
    </row>
    <row r="271">
      <c r="B271" s="3">
        <f t="shared" si="1"/>
        <v>0.064</v>
      </c>
      <c r="C271" s="3">
        <f t="shared" si="2"/>
        <v>12</v>
      </c>
      <c r="D271" s="11">
        <f t="shared" si="3"/>
        <v>22.41666667</v>
      </c>
      <c r="E271" s="3">
        <f t="shared" si="4"/>
        <v>1000</v>
      </c>
      <c r="F271" s="2">
        <f t="shared" si="5"/>
        <v>-11157.87986</v>
      </c>
    </row>
    <row r="272">
      <c r="B272" s="3">
        <f t="shared" si="1"/>
        <v>0.064</v>
      </c>
      <c r="C272" s="3">
        <f t="shared" si="2"/>
        <v>12</v>
      </c>
      <c r="D272" s="11">
        <f t="shared" si="3"/>
        <v>22.5</v>
      </c>
      <c r="E272" s="3">
        <f t="shared" si="4"/>
        <v>1000</v>
      </c>
      <c r="F272" s="2">
        <f t="shared" si="5"/>
        <v>-12217.38855</v>
      </c>
    </row>
    <row r="273">
      <c r="B273" s="3">
        <f t="shared" si="1"/>
        <v>0.064</v>
      </c>
      <c r="C273" s="3">
        <f t="shared" si="2"/>
        <v>12</v>
      </c>
      <c r="D273" s="11">
        <f t="shared" si="3"/>
        <v>22.58333333</v>
      </c>
      <c r="E273" s="3">
        <f t="shared" si="4"/>
        <v>1000</v>
      </c>
      <c r="F273" s="2">
        <f t="shared" si="5"/>
        <v>-13282.54796</v>
      </c>
    </row>
    <row r="274">
      <c r="B274" s="3">
        <f t="shared" si="1"/>
        <v>0.064</v>
      </c>
      <c r="C274" s="3">
        <f t="shared" si="2"/>
        <v>12</v>
      </c>
      <c r="D274" s="11">
        <f t="shared" si="3"/>
        <v>22.66666667</v>
      </c>
      <c r="E274" s="3">
        <f t="shared" si="4"/>
        <v>1000</v>
      </c>
      <c r="F274" s="2">
        <f t="shared" si="5"/>
        <v>-14353.38821</v>
      </c>
    </row>
    <row r="275">
      <c r="B275" s="3">
        <f t="shared" si="1"/>
        <v>0.064</v>
      </c>
      <c r="C275" s="3">
        <f t="shared" si="2"/>
        <v>12</v>
      </c>
      <c r="D275" s="11">
        <f t="shared" si="3"/>
        <v>22.75</v>
      </c>
      <c r="E275" s="3">
        <f t="shared" si="4"/>
        <v>1000</v>
      </c>
      <c r="F275" s="2">
        <f t="shared" si="5"/>
        <v>-15429.93962</v>
      </c>
    </row>
    <row r="276">
      <c r="B276" s="3">
        <f t="shared" si="1"/>
        <v>0.064</v>
      </c>
      <c r="C276" s="3">
        <f t="shared" si="2"/>
        <v>12</v>
      </c>
      <c r="D276" s="11">
        <f t="shared" si="3"/>
        <v>22.83333333</v>
      </c>
      <c r="E276" s="3">
        <f t="shared" si="4"/>
        <v>1000</v>
      </c>
      <c r="F276" s="2">
        <f t="shared" si="5"/>
        <v>-16512.23263</v>
      </c>
    </row>
    <row r="277">
      <c r="B277" s="3">
        <f t="shared" si="1"/>
        <v>0.064</v>
      </c>
      <c r="C277" s="3">
        <f t="shared" si="2"/>
        <v>12</v>
      </c>
      <c r="D277" s="11">
        <f t="shared" si="3"/>
        <v>22.91666667</v>
      </c>
      <c r="E277" s="3">
        <f t="shared" si="4"/>
        <v>1000</v>
      </c>
      <c r="F277" s="2">
        <f t="shared" si="5"/>
        <v>-17600.29787</v>
      </c>
    </row>
    <row r="278">
      <c r="B278" s="3">
        <f t="shared" si="1"/>
        <v>0.064</v>
      </c>
      <c r="C278" s="3">
        <f t="shared" si="2"/>
        <v>12</v>
      </c>
      <c r="D278" s="11">
        <f t="shared" si="3"/>
        <v>23</v>
      </c>
      <c r="E278" s="3">
        <f t="shared" si="4"/>
        <v>1000</v>
      </c>
      <c r="F278" s="2">
        <f t="shared" si="5"/>
        <v>-18694.16612</v>
      </c>
    </row>
    <row r="279">
      <c r="B279" s="3">
        <f t="shared" si="1"/>
        <v>0.064</v>
      </c>
      <c r="C279" s="3">
        <f t="shared" si="2"/>
        <v>12</v>
      </c>
      <c r="D279" s="11">
        <f t="shared" si="3"/>
        <v>23.08333333</v>
      </c>
      <c r="E279" s="3">
        <f t="shared" si="4"/>
        <v>1000</v>
      </c>
      <c r="F279" s="2">
        <f t="shared" si="5"/>
        <v>-19793.86834</v>
      </c>
    </row>
    <row r="280">
      <c r="B280" s="3">
        <f t="shared" si="1"/>
        <v>0.064</v>
      </c>
      <c r="C280" s="3">
        <f t="shared" si="2"/>
        <v>12</v>
      </c>
      <c r="D280" s="11">
        <f t="shared" si="3"/>
        <v>23.16666667</v>
      </c>
      <c r="E280" s="3">
        <f t="shared" si="4"/>
        <v>1000</v>
      </c>
      <c r="F280" s="2">
        <f t="shared" si="5"/>
        <v>-20899.43564</v>
      </c>
    </row>
    <row r="281">
      <c r="B281" s="3">
        <f t="shared" si="1"/>
        <v>0.064</v>
      </c>
      <c r="C281" s="3">
        <f t="shared" si="2"/>
        <v>12</v>
      </c>
      <c r="D281" s="11">
        <f t="shared" si="3"/>
        <v>23.25</v>
      </c>
      <c r="E281" s="3">
        <f t="shared" si="4"/>
        <v>1000</v>
      </c>
      <c r="F281" s="2">
        <f t="shared" si="5"/>
        <v>-22010.8993</v>
      </c>
    </row>
    <row r="282">
      <c r="B282" s="3">
        <f t="shared" si="1"/>
        <v>0.064</v>
      </c>
      <c r="C282" s="3">
        <f t="shared" si="2"/>
        <v>12</v>
      </c>
      <c r="D282" s="11">
        <f t="shared" si="3"/>
        <v>23.33333333</v>
      </c>
      <c r="E282" s="3">
        <f t="shared" si="4"/>
        <v>1000</v>
      </c>
      <c r="F282" s="2">
        <f t="shared" si="5"/>
        <v>-23128.29076</v>
      </c>
    </row>
    <row r="283">
      <c r="B283" s="3">
        <f t="shared" si="1"/>
        <v>0.064</v>
      </c>
      <c r="C283" s="3">
        <f t="shared" si="2"/>
        <v>12</v>
      </c>
      <c r="D283" s="11">
        <f t="shared" si="3"/>
        <v>23.41666667</v>
      </c>
      <c r="E283" s="3">
        <f t="shared" si="4"/>
        <v>1000</v>
      </c>
      <c r="F283" s="2">
        <f t="shared" si="5"/>
        <v>-24251.64164</v>
      </c>
    </row>
    <row r="284">
      <c r="B284" s="3">
        <f t="shared" si="1"/>
        <v>0.064</v>
      </c>
      <c r="C284" s="3">
        <f t="shared" si="2"/>
        <v>12</v>
      </c>
      <c r="D284" s="11">
        <f t="shared" si="3"/>
        <v>23.5</v>
      </c>
      <c r="E284" s="3">
        <f t="shared" si="4"/>
        <v>1000</v>
      </c>
      <c r="F284" s="2">
        <f t="shared" si="5"/>
        <v>-25380.98373</v>
      </c>
    </row>
    <row r="285">
      <c r="B285" s="3">
        <f t="shared" si="1"/>
        <v>0.064</v>
      </c>
      <c r="C285" s="3">
        <f t="shared" si="2"/>
        <v>12</v>
      </c>
      <c r="D285" s="11">
        <f t="shared" si="3"/>
        <v>23.58333333</v>
      </c>
      <c r="E285" s="3">
        <f t="shared" si="4"/>
        <v>1000</v>
      </c>
      <c r="F285" s="2">
        <f t="shared" si="5"/>
        <v>-26516.34898</v>
      </c>
    </row>
    <row r="286">
      <c r="B286" s="3">
        <f t="shared" si="1"/>
        <v>0.064</v>
      </c>
      <c r="C286" s="3">
        <f t="shared" si="2"/>
        <v>12</v>
      </c>
      <c r="D286" s="11">
        <f t="shared" si="3"/>
        <v>23.66666667</v>
      </c>
      <c r="E286" s="3">
        <f t="shared" si="4"/>
        <v>1000</v>
      </c>
      <c r="F286" s="2">
        <f t="shared" si="5"/>
        <v>-27657.76951</v>
      </c>
    </row>
    <row r="287">
      <c r="B287" s="3">
        <f t="shared" si="1"/>
        <v>0.064</v>
      </c>
      <c r="C287" s="3">
        <f t="shared" si="2"/>
        <v>12</v>
      </c>
      <c r="D287" s="11">
        <f t="shared" si="3"/>
        <v>23.75</v>
      </c>
      <c r="E287" s="3">
        <f t="shared" si="4"/>
        <v>1000</v>
      </c>
      <c r="F287" s="2">
        <f t="shared" si="5"/>
        <v>-28805.27761</v>
      </c>
    </row>
    <row r="288">
      <c r="B288" s="3">
        <f t="shared" si="1"/>
        <v>0.064</v>
      </c>
      <c r="C288" s="3">
        <f t="shared" si="2"/>
        <v>12</v>
      </c>
      <c r="D288" s="11">
        <f t="shared" si="3"/>
        <v>23.83333333</v>
      </c>
      <c r="E288" s="3">
        <f t="shared" si="4"/>
        <v>1000</v>
      </c>
      <c r="F288" s="2">
        <f t="shared" si="5"/>
        <v>-29958.90576</v>
      </c>
    </row>
    <row r="289">
      <c r="B289" s="3">
        <f t="shared" si="1"/>
        <v>0.064</v>
      </c>
      <c r="C289" s="3">
        <f t="shared" si="2"/>
        <v>12</v>
      </c>
      <c r="D289" s="11">
        <f t="shared" si="3"/>
        <v>23.91666667</v>
      </c>
      <c r="E289" s="3">
        <f t="shared" si="4"/>
        <v>1000</v>
      </c>
      <c r="F289" s="2">
        <f t="shared" si="5"/>
        <v>-31118.68659</v>
      </c>
    </row>
    <row r="290">
      <c r="B290" s="3">
        <f t="shared" si="1"/>
        <v>0.064</v>
      </c>
      <c r="C290" s="3">
        <f t="shared" si="2"/>
        <v>12</v>
      </c>
      <c r="D290" s="11">
        <f t="shared" si="3"/>
        <v>24</v>
      </c>
      <c r="E290" s="3">
        <f t="shared" si="4"/>
        <v>1000</v>
      </c>
      <c r="F290" s="2">
        <f t="shared" si="5"/>
        <v>-32284.65292</v>
      </c>
    </row>
    <row r="291">
      <c r="B291" s="3">
        <f t="shared" si="1"/>
        <v>0.064</v>
      </c>
      <c r="C291" s="3">
        <f t="shared" si="2"/>
        <v>12</v>
      </c>
      <c r="D291" s="11">
        <f t="shared" si="3"/>
        <v>24.08333333</v>
      </c>
      <c r="E291" s="3">
        <f t="shared" si="4"/>
        <v>1000</v>
      </c>
      <c r="F291" s="2">
        <f t="shared" si="5"/>
        <v>-33456.83773</v>
      </c>
    </row>
    <row r="292">
      <c r="B292" s="3">
        <f t="shared" si="1"/>
        <v>0.064</v>
      </c>
      <c r="C292" s="3">
        <f t="shared" si="2"/>
        <v>12</v>
      </c>
      <c r="D292" s="11">
        <f t="shared" si="3"/>
        <v>24.16666667</v>
      </c>
      <c r="E292" s="3">
        <f t="shared" si="4"/>
        <v>1000</v>
      </c>
      <c r="F292" s="2">
        <f t="shared" si="5"/>
        <v>-34635.2742</v>
      </c>
    </row>
    <row r="293">
      <c r="B293" s="3">
        <f t="shared" si="1"/>
        <v>0.064</v>
      </c>
      <c r="C293" s="3">
        <f t="shared" si="2"/>
        <v>12</v>
      </c>
      <c r="D293" s="11">
        <f t="shared" si="3"/>
        <v>24.25</v>
      </c>
      <c r="E293" s="3">
        <f t="shared" si="4"/>
        <v>1000</v>
      </c>
      <c r="F293" s="2">
        <f t="shared" si="5"/>
        <v>-35819.99566</v>
      </c>
    </row>
    <row r="294">
      <c r="B294" s="3">
        <f t="shared" si="1"/>
        <v>0.064</v>
      </c>
      <c r="C294" s="3">
        <f t="shared" si="2"/>
        <v>12</v>
      </c>
      <c r="D294" s="11">
        <f t="shared" si="3"/>
        <v>24.33333333</v>
      </c>
      <c r="E294" s="3">
        <f t="shared" si="4"/>
        <v>1000</v>
      </c>
      <c r="F294" s="2">
        <f t="shared" si="5"/>
        <v>-37011.03564</v>
      </c>
    </row>
    <row r="295">
      <c r="B295" s="3">
        <f t="shared" si="1"/>
        <v>0.064</v>
      </c>
      <c r="C295" s="3">
        <f t="shared" si="2"/>
        <v>12</v>
      </c>
      <c r="D295" s="11">
        <f t="shared" si="3"/>
        <v>24.41666667</v>
      </c>
      <c r="E295" s="3">
        <f t="shared" si="4"/>
        <v>1000</v>
      </c>
      <c r="F295" s="2">
        <f t="shared" si="5"/>
        <v>-38208.42783</v>
      </c>
    </row>
    <row r="296">
      <c r="B296" s="3">
        <f t="shared" si="1"/>
        <v>0.064</v>
      </c>
      <c r="C296" s="3">
        <f t="shared" si="2"/>
        <v>12</v>
      </c>
      <c r="D296" s="11">
        <f t="shared" si="3"/>
        <v>24.5</v>
      </c>
      <c r="E296" s="3">
        <f t="shared" si="4"/>
        <v>1000</v>
      </c>
      <c r="F296" s="2">
        <f t="shared" si="5"/>
        <v>-39412.20611</v>
      </c>
    </row>
    <row r="297">
      <c r="B297" s="3">
        <f t="shared" si="1"/>
        <v>0.064</v>
      </c>
      <c r="C297" s="3">
        <f t="shared" si="2"/>
        <v>12</v>
      </c>
      <c r="D297" s="11">
        <f t="shared" si="3"/>
        <v>24.58333333</v>
      </c>
      <c r="E297" s="3">
        <f t="shared" si="4"/>
        <v>1000</v>
      </c>
      <c r="F297" s="2">
        <f t="shared" si="5"/>
        <v>-40622.40454</v>
      </c>
    </row>
    <row r="298">
      <c r="B298" s="3">
        <f t="shared" si="1"/>
        <v>0.064</v>
      </c>
      <c r="C298" s="3">
        <f t="shared" si="2"/>
        <v>12</v>
      </c>
      <c r="D298" s="11">
        <f t="shared" si="3"/>
        <v>24.66666667</v>
      </c>
      <c r="E298" s="3">
        <f t="shared" si="4"/>
        <v>1000</v>
      </c>
      <c r="F298" s="2">
        <f t="shared" si="5"/>
        <v>-41839.05737</v>
      </c>
    </row>
    <row r="299">
      <c r="B299" s="3">
        <f t="shared" si="1"/>
        <v>0.064</v>
      </c>
      <c r="C299" s="3">
        <f t="shared" si="2"/>
        <v>12</v>
      </c>
      <c r="D299" s="11">
        <f t="shared" si="3"/>
        <v>24.75</v>
      </c>
      <c r="E299" s="3">
        <f t="shared" si="4"/>
        <v>1000</v>
      </c>
      <c r="F299" s="2">
        <f t="shared" si="5"/>
        <v>-43062.19901</v>
      </c>
    </row>
    <row r="300">
      <c r="B300" s="3">
        <f t="shared" si="1"/>
        <v>0.064</v>
      </c>
      <c r="C300" s="3">
        <f t="shared" si="2"/>
        <v>12</v>
      </c>
      <c r="D300" s="11">
        <f t="shared" si="3"/>
        <v>24.83333333</v>
      </c>
      <c r="E300" s="3">
        <f t="shared" si="4"/>
        <v>1000</v>
      </c>
      <c r="F300" s="2">
        <f t="shared" si="5"/>
        <v>-44291.86407</v>
      </c>
    </row>
    <row r="301">
      <c r="B301" s="3">
        <f t="shared" si="1"/>
        <v>0.064</v>
      </c>
      <c r="C301" s="3">
        <f t="shared" si="2"/>
        <v>12</v>
      </c>
      <c r="D301" s="11">
        <f t="shared" si="3"/>
        <v>24.91666667</v>
      </c>
      <c r="E301" s="3">
        <f t="shared" si="4"/>
        <v>1000</v>
      </c>
      <c r="F301" s="2">
        <f t="shared" si="5"/>
        <v>-45528.08734</v>
      </c>
    </row>
    <row r="302">
      <c r="B302" s="3">
        <f t="shared" si="1"/>
        <v>0.064</v>
      </c>
      <c r="C302" s="3">
        <f t="shared" si="2"/>
        <v>12</v>
      </c>
      <c r="D302" s="11">
        <f t="shared" si="3"/>
        <v>25</v>
      </c>
      <c r="E302" s="3">
        <f t="shared" si="4"/>
        <v>1000</v>
      </c>
      <c r="F302" s="2">
        <f t="shared" si="5"/>
        <v>-46770.90381</v>
      </c>
    </row>
    <row r="303">
      <c r="B303" s="3">
        <f t="shared" si="1"/>
        <v>0.064</v>
      </c>
      <c r="C303" s="3">
        <f t="shared" si="2"/>
        <v>12</v>
      </c>
      <c r="D303" s="11">
        <f t="shared" si="3"/>
        <v>25.08333333</v>
      </c>
      <c r="E303" s="3">
        <f t="shared" si="4"/>
        <v>1000</v>
      </c>
      <c r="F303" s="2">
        <f t="shared" si="5"/>
        <v>-48020.34863</v>
      </c>
    </row>
    <row r="304">
      <c r="B304" s="3">
        <f t="shared" si="1"/>
        <v>0.064</v>
      </c>
      <c r="C304" s="3">
        <f t="shared" si="2"/>
        <v>12</v>
      </c>
      <c r="D304" s="11">
        <f t="shared" si="3"/>
        <v>25.16666667</v>
      </c>
      <c r="E304" s="3">
        <f t="shared" si="4"/>
        <v>1000</v>
      </c>
      <c r="F304" s="2">
        <f t="shared" si="5"/>
        <v>-49276.45716</v>
      </c>
    </row>
    <row r="305">
      <c r="B305" s="3">
        <f t="shared" si="1"/>
        <v>0.064</v>
      </c>
      <c r="C305" s="3">
        <f t="shared" si="2"/>
        <v>12</v>
      </c>
      <c r="D305" s="11">
        <f t="shared" si="3"/>
        <v>25.25</v>
      </c>
      <c r="E305" s="3">
        <f t="shared" si="4"/>
        <v>1000</v>
      </c>
      <c r="F305" s="2">
        <f t="shared" si="5"/>
        <v>-50539.26493</v>
      </c>
    </row>
    <row r="306">
      <c r="B306" s="3">
        <f t="shared" si="1"/>
        <v>0.064</v>
      </c>
      <c r="C306" s="3">
        <f t="shared" si="2"/>
        <v>12</v>
      </c>
      <c r="D306" s="11">
        <f t="shared" si="3"/>
        <v>25.33333333</v>
      </c>
      <c r="E306" s="3">
        <f t="shared" si="4"/>
        <v>1000</v>
      </c>
      <c r="F306" s="2">
        <f t="shared" si="5"/>
        <v>-51808.80767</v>
      </c>
    </row>
    <row r="307">
      <c r="B307" s="3">
        <f t="shared" si="1"/>
        <v>0.064</v>
      </c>
      <c r="C307" s="3">
        <f t="shared" si="2"/>
        <v>12</v>
      </c>
      <c r="D307" s="11">
        <f t="shared" si="3"/>
        <v>25.41666667</v>
      </c>
      <c r="E307" s="3">
        <f t="shared" si="4"/>
        <v>1000</v>
      </c>
      <c r="F307" s="2">
        <f t="shared" si="5"/>
        <v>-53085.12132</v>
      </c>
    </row>
    <row r="308">
      <c r="B308" s="3">
        <f t="shared" si="1"/>
        <v>0.064</v>
      </c>
      <c r="C308" s="3">
        <f t="shared" si="2"/>
        <v>12</v>
      </c>
      <c r="D308" s="11">
        <f t="shared" si="3"/>
        <v>25.5</v>
      </c>
      <c r="E308" s="3">
        <f t="shared" si="4"/>
        <v>1000</v>
      </c>
      <c r="F308" s="2">
        <f t="shared" si="5"/>
        <v>-54368.24196</v>
      </c>
    </row>
    <row r="309">
      <c r="B309" s="3">
        <f t="shared" si="1"/>
        <v>0.064</v>
      </c>
      <c r="C309" s="3">
        <f t="shared" si="2"/>
        <v>12</v>
      </c>
      <c r="D309" s="11">
        <f t="shared" si="3"/>
        <v>25.58333333</v>
      </c>
      <c r="E309" s="3">
        <f t="shared" si="4"/>
        <v>1000</v>
      </c>
      <c r="F309" s="2">
        <f t="shared" si="5"/>
        <v>-55658.20592</v>
      </c>
    </row>
    <row r="310">
      <c r="B310" s="3">
        <f t="shared" si="1"/>
        <v>0.064</v>
      </c>
      <c r="C310" s="3">
        <f t="shared" si="2"/>
        <v>12</v>
      </c>
      <c r="D310" s="11">
        <f t="shared" si="3"/>
        <v>25.66666667</v>
      </c>
      <c r="E310" s="3">
        <f t="shared" si="4"/>
        <v>1000</v>
      </c>
      <c r="F310" s="2">
        <f t="shared" si="5"/>
        <v>-56955.04968</v>
      </c>
    </row>
    <row r="311">
      <c r="B311" s="3">
        <f t="shared" si="1"/>
        <v>0.064</v>
      </c>
      <c r="C311" s="3">
        <f t="shared" si="2"/>
        <v>12</v>
      </c>
      <c r="D311" s="11">
        <f t="shared" si="3"/>
        <v>25.75</v>
      </c>
      <c r="E311" s="3">
        <f t="shared" si="4"/>
        <v>1000</v>
      </c>
      <c r="F311" s="2">
        <f t="shared" si="5"/>
        <v>-58258.80995</v>
      </c>
    </row>
    <row r="312">
      <c r="B312" s="3">
        <f t="shared" si="1"/>
        <v>0.064</v>
      </c>
      <c r="C312" s="3">
        <f t="shared" si="2"/>
        <v>12</v>
      </c>
      <c r="D312" s="11">
        <f t="shared" si="3"/>
        <v>25.83333333</v>
      </c>
      <c r="E312" s="3">
        <f t="shared" si="4"/>
        <v>1000</v>
      </c>
      <c r="F312" s="2">
        <f t="shared" si="5"/>
        <v>-59569.5236</v>
      </c>
    </row>
    <row r="313">
      <c r="B313" s="3">
        <f t="shared" si="1"/>
        <v>0.064</v>
      </c>
      <c r="C313" s="3">
        <f t="shared" si="2"/>
        <v>12</v>
      </c>
      <c r="D313" s="11">
        <f t="shared" si="3"/>
        <v>25.91666667</v>
      </c>
      <c r="E313" s="3">
        <f t="shared" si="4"/>
        <v>1000</v>
      </c>
      <c r="F313" s="2">
        <f t="shared" si="5"/>
        <v>-60887.22773</v>
      </c>
    </row>
    <row r="314">
      <c r="B314" s="3">
        <f t="shared" si="1"/>
        <v>0.064</v>
      </c>
      <c r="C314" s="3">
        <f t="shared" si="2"/>
        <v>12</v>
      </c>
      <c r="D314" s="11">
        <f t="shared" si="3"/>
        <v>26</v>
      </c>
      <c r="E314" s="3">
        <f t="shared" si="4"/>
        <v>1000</v>
      </c>
      <c r="F314" s="2">
        <f t="shared" si="5"/>
        <v>-62211.95961</v>
      </c>
    </row>
    <row r="315">
      <c r="B315" s="3">
        <f t="shared" si="1"/>
        <v>0.064</v>
      </c>
      <c r="C315" s="3">
        <f t="shared" si="2"/>
        <v>12</v>
      </c>
      <c r="D315" s="11">
        <f t="shared" si="3"/>
        <v>26.08333333</v>
      </c>
      <c r="E315" s="3">
        <f t="shared" si="4"/>
        <v>1000</v>
      </c>
      <c r="F315" s="2">
        <f t="shared" si="5"/>
        <v>-63543.75673</v>
      </c>
    </row>
    <row r="316">
      <c r="B316" s="3">
        <f t="shared" si="1"/>
        <v>0.064</v>
      </c>
      <c r="C316" s="3">
        <f t="shared" si="2"/>
        <v>12</v>
      </c>
      <c r="D316" s="11">
        <f t="shared" si="3"/>
        <v>26.16666667</v>
      </c>
      <c r="E316" s="3">
        <f t="shared" si="4"/>
        <v>1000</v>
      </c>
      <c r="F316" s="2">
        <f t="shared" si="5"/>
        <v>-64882.65676</v>
      </c>
    </row>
    <row r="317">
      <c r="B317" s="3">
        <f t="shared" si="1"/>
        <v>0.064</v>
      </c>
      <c r="C317" s="3">
        <f t="shared" si="2"/>
        <v>12</v>
      </c>
      <c r="D317" s="11">
        <f t="shared" si="3"/>
        <v>26.25</v>
      </c>
      <c r="E317" s="3">
        <f t="shared" si="4"/>
        <v>1000</v>
      </c>
      <c r="F317" s="2">
        <f t="shared" si="5"/>
        <v>-66228.6976</v>
      </c>
    </row>
    <row r="318">
      <c r="B318" s="3">
        <f t="shared" si="1"/>
        <v>0.064</v>
      </c>
      <c r="C318" s="3">
        <f t="shared" si="2"/>
        <v>12</v>
      </c>
      <c r="D318" s="11">
        <f t="shared" si="3"/>
        <v>26.33333333</v>
      </c>
      <c r="E318" s="3">
        <f t="shared" si="4"/>
        <v>1000</v>
      </c>
      <c r="F318" s="2">
        <f t="shared" si="5"/>
        <v>-67581.91732</v>
      </c>
    </row>
    <row r="319">
      <c r="B319" s="3">
        <f t="shared" si="1"/>
        <v>0.064</v>
      </c>
      <c r="C319" s="3">
        <f t="shared" si="2"/>
        <v>12</v>
      </c>
      <c r="D319" s="11">
        <f t="shared" si="3"/>
        <v>26.41666667</v>
      </c>
      <c r="E319" s="3">
        <f t="shared" si="4"/>
        <v>1000</v>
      </c>
      <c r="F319" s="2">
        <f t="shared" si="5"/>
        <v>-68942.35421</v>
      </c>
    </row>
    <row r="320">
      <c r="B320" s="3">
        <f t="shared" si="1"/>
        <v>0.064</v>
      </c>
      <c r="C320" s="3">
        <f t="shared" si="2"/>
        <v>12</v>
      </c>
      <c r="D320" s="11">
        <f t="shared" si="3"/>
        <v>26.5</v>
      </c>
      <c r="E320" s="3">
        <f t="shared" si="4"/>
        <v>1000</v>
      </c>
      <c r="F320" s="2">
        <f t="shared" si="5"/>
        <v>-70310.04677</v>
      </c>
    </row>
    <row r="321">
      <c r="B321" s="3">
        <f t="shared" si="1"/>
        <v>0.064</v>
      </c>
      <c r="C321" s="3">
        <f t="shared" si="2"/>
        <v>12</v>
      </c>
      <c r="D321" s="11">
        <f t="shared" si="3"/>
        <v>26.58333333</v>
      </c>
      <c r="E321" s="3">
        <f t="shared" si="4"/>
        <v>1000</v>
      </c>
      <c r="F321" s="2">
        <f t="shared" si="5"/>
        <v>-71685.03368</v>
      </c>
    </row>
    <row r="322">
      <c r="B322" s="3">
        <f t="shared" si="1"/>
        <v>0.064</v>
      </c>
      <c r="C322" s="3">
        <f t="shared" si="2"/>
        <v>12</v>
      </c>
      <c r="D322" s="11">
        <f t="shared" si="3"/>
        <v>26.66666667</v>
      </c>
      <c r="E322" s="3">
        <f t="shared" si="4"/>
        <v>1000</v>
      </c>
      <c r="F322" s="2">
        <f t="shared" si="5"/>
        <v>-73067.35386</v>
      </c>
    </row>
    <row r="323">
      <c r="B323" s="3">
        <f t="shared" si="1"/>
        <v>0.064</v>
      </c>
      <c r="C323" s="3">
        <f t="shared" si="2"/>
        <v>12</v>
      </c>
      <c r="D323" s="11">
        <f t="shared" si="3"/>
        <v>26.75</v>
      </c>
      <c r="E323" s="3">
        <f t="shared" si="4"/>
        <v>1000</v>
      </c>
      <c r="F323" s="2">
        <f t="shared" si="5"/>
        <v>-74457.04642</v>
      </c>
    </row>
    <row r="324">
      <c r="B324" s="3">
        <f t="shared" si="1"/>
        <v>0.064</v>
      </c>
      <c r="C324" s="3">
        <f t="shared" si="2"/>
        <v>12</v>
      </c>
      <c r="D324" s="11">
        <f t="shared" si="3"/>
        <v>26.83333333</v>
      </c>
      <c r="E324" s="3">
        <f t="shared" si="4"/>
        <v>1000</v>
      </c>
      <c r="F324" s="2">
        <f t="shared" si="5"/>
        <v>-75854.15067</v>
      </c>
    </row>
    <row r="325">
      <c r="B325" s="3">
        <f t="shared" si="1"/>
        <v>0.064</v>
      </c>
      <c r="C325" s="3">
        <f t="shared" si="2"/>
        <v>12</v>
      </c>
      <c r="D325" s="11">
        <f t="shared" si="3"/>
        <v>26.91666667</v>
      </c>
      <c r="E325" s="3">
        <f t="shared" si="4"/>
        <v>1000</v>
      </c>
      <c r="F325" s="2">
        <f t="shared" si="5"/>
        <v>-77258.70614</v>
      </c>
    </row>
    <row r="326">
      <c r="B326" s="3">
        <f t="shared" si="1"/>
        <v>0.064</v>
      </c>
      <c r="C326" s="3">
        <f t="shared" si="2"/>
        <v>12</v>
      </c>
      <c r="D326" s="11">
        <f t="shared" si="3"/>
        <v>27</v>
      </c>
      <c r="E326" s="3">
        <f t="shared" si="4"/>
        <v>1000</v>
      </c>
      <c r="F326" s="2">
        <f t="shared" si="5"/>
        <v>-78670.75257</v>
      </c>
    </row>
    <row r="327">
      <c r="B327" s="3">
        <f t="shared" si="1"/>
        <v>0.064</v>
      </c>
      <c r="C327" s="3">
        <f t="shared" si="2"/>
        <v>12</v>
      </c>
      <c r="D327" s="11">
        <f t="shared" si="3"/>
        <v>27.08333333</v>
      </c>
      <c r="E327" s="3">
        <f t="shared" si="4"/>
        <v>1000</v>
      </c>
      <c r="F327" s="2">
        <f t="shared" si="5"/>
        <v>-80090.32992</v>
      </c>
    </row>
    <row r="328">
      <c r="B328" s="3">
        <f t="shared" si="1"/>
        <v>0.064</v>
      </c>
      <c r="C328" s="3">
        <f t="shared" si="2"/>
        <v>12</v>
      </c>
      <c r="D328" s="11">
        <f t="shared" si="3"/>
        <v>27.16666667</v>
      </c>
      <c r="E328" s="3">
        <f t="shared" si="4"/>
        <v>1000</v>
      </c>
      <c r="F328" s="2">
        <f t="shared" si="5"/>
        <v>-81517.47834</v>
      </c>
    </row>
    <row r="329">
      <c r="B329" s="3">
        <f t="shared" si="1"/>
        <v>0.064</v>
      </c>
      <c r="C329" s="3">
        <f t="shared" si="2"/>
        <v>12</v>
      </c>
      <c r="D329" s="11">
        <f t="shared" si="3"/>
        <v>27.25</v>
      </c>
      <c r="E329" s="3">
        <f t="shared" si="4"/>
        <v>1000</v>
      </c>
      <c r="F329" s="2">
        <f t="shared" si="5"/>
        <v>-82952.23823</v>
      </c>
    </row>
    <row r="330">
      <c r="B330" s="3">
        <f t="shared" si="1"/>
        <v>0.064</v>
      </c>
      <c r="C330" s="3">
        <f t="shared" si="2"/>
        <v>12</v>
      </c>
      <c r="D330" s="11">
        <f t="shared" si="3"/>
        <v>27.33333333</v>
      </c>
      <c r="E330" s="3">
        <f t="shared" si="4"/>
        <v>1000</v>
      </c>
      <c r="F330" s="2">
        <f t="shared" si="5"/>
        <v>-84394.65016</v>
      </c>
    </row>
    <row r="331">
      <c r="B331" s="3">
        <f t="shared" si="1"/>
        <v>0.064</v>
      </c>
      <c r="C331" s="3">
        <f t="shared" si="2"/>
        <v>12</v>
      </c>
      <c r="D331" s="11">
        <f t="shared" si="3"/>
        <v>27.41666667</v>
      </c>
      <c r="E331" s="3">
        <f t="shared" si="4"/>
        <v>1000</v>
      </c>
      <c r="F331" s="2">
        <f t="shared" si="5"/>
        <v>-85844.75496</v>
      </c>
    </row>
    <row r="332">
      <c r="B332" s="3">
        <f t="shared" si="1"/>
        <v>0.064</v>
      </c>
      <c r="C332" s="3">
        <f t="shared" si="2"/>
        <v>12</v>
      </c>
      <c r="D332" s="11">
        <f t="shared" si="3"/>
        <v>27.5</v>
      </c>
      <c r="E332" s="3">
        <f t="shared" si="4"/>
        <v>1000</v>
      </c>
      <c r="F332" s="2">
        <f t="shared" si="5"/>
        <v>-87302.59366</v>
      </c>
    </row>
    <row r="333">
      <c r="B333" s="3">
        <f t="shared" si="1"/>
        <v>0.064</v>
      </c>
      <c r="C333" s="3">
        <f t="shared" si="2"/>
        <v>12</v>
      </c>
      <c r="D333" s="11">
        <f t="shared" si="3"/>
        <v>27.58333333</v>
      </c>
      <c r="E333" s="3">
        <f t="shared" si="4"/>
        <v>1000</v>
      </c>
      <c r="F333" s="2">
        <f t="shared" si="5"/>
        <v>-88768.20749</v>
      </c>
    </row>
    <row r="334">
      <c r="B334" s="3">
        <f t="shared" si="1"/>
        <v>0.064</v>
      </c>
      <c r="C334" s="3">
        <f t="shared" si="2"/>
        <v>12</v>
      </c>
      <c r="D334" s="11">
        <f t="shared" si="3"/>
        <v>27.66666667</v>
      </c>
      <c r="E334" s="3">
        <f t="shared" si="4"/>
        <v>1000</v>
      </c>
      <c r="F334" s="2">
        <f t="shared" si="5"/>
        <v>-90241.63793</v>
      </c>
    </row>
    <row r="335">
      <c r="B335" s="3">
        <f t="shared" si="1"/>
        <v>0.064</v>
      </c>
      <c r="C335" s="3">
        <f t="shared" si="2"/>
        <v>12</v>
      </c>
      <c r="D335" s="11">
        <f t="shared" si="3"/>
        <v>27.75</v>
      </c>
      <c r="E335" s="3">
        <f t="shared" si="4"/>
        <v>1000</v>
      </c>
      <c r="F335" s="2">
        <f t="shared" si="5"/>
        <v>-91722.92667</v>
      </c>
    </row>
    <row r="336">
      <c r="B336" s="3">
        <f t="shared" si="1"/>
        <v>0.064</v>
      </c>
      <c r="C336" s="3">
        <f t="shared" si="2"/>
        <v>12</v>
      </c>
      <c r="D336" s="11">
        <f t="shared" si="3"/>
        <v>27.83333333</v>
      </c>
      <c r="E336" s="3">
        <f t="shared" si="4"/>
        <v>1000</v>
      </c>
      <c r="F336" s="2">
        <f t="shared" si="5"/>
        <v>-93212.11561</v>
      </c>
    </row>
    <row r="337">
      <c r="B337" s="3">
        <f t="shared" si="1"/>
        <v>0.064</v>
      </c>
      <c r="C337" s="3">
        <f t="shared" si="2"/>
        <v>12</v>
      </c>
      <c r="D337" s="11">
        <f t="shared" si="3"/>
        <v>27.91666667</v>
      </c>
      <c r="E337" s="3">
        <f t="shared" si="4"/>
        <v>1000</v>
      </c>
      <c r="F337" s="2">
        <f t="shared" si="5"/>
        <v>-94709.24689</v>
      </c>
    </row>
    <row r="338">
      <c r="B338" s="3">
        <f t="shared" si="1"/>
        <v>0.064</v>
      </c>
      <c r="C338" s="3">
        <f t="shared" si="2"/>
        <v>12</v>
      </c>
      <c r="D338" s="11">
        <f t="shared" si="3"/>
        <v>28</v>
      </c>
      <c r="E338" s="3">
        <f t="shared" si="4"/>
        <v>1000</v>
      </c>
      <c r="F338" s="2">
        <f t="shared" si="5"/>
        <v>-96214.36287</v>
      </c>
    </row>
    <row r="339">
      <c r="B339" s="3">
        <f t="shared" si="1"/>
        <v>0.064</v>
      </c>
      <c r="C339" s="3">
        <f t="shared" si="2"/>
        <v>12</v>
      </c>
      <c r="D339" s="11">
        <f t="shared" si="3"/>
        <v>28.08333333</v>
      </c>
      <c r="E339" s="3">
        <f t="shared" si="4"/>
        <v>1000</v>
      </c>
      <c r="F339" s="2">
        <f t="shared" si="5"/>
        <v>-97727.50614</v>
      </c>
    </row>
    <row r="340">
      <c r="B340" s="3">
        <f t="shared" si="1"/>
        <v>0.064</v>
      </c>
      <c r="C340" s="3">
        <f t="shared" si="2"/>
        <v>12</v>
      </c>
      <c r="D340" s="11">
        <f t="shared" si="3"/>
        <v>28.16666667</v>
      </c>
      <c r="E340" s="3">
        <f t="shared" si="4"/>
        <v>1000</v>
      </c>
      <c r="F340" s="2">
        <f t="shared" si="5"/>
        <v>-99248.71951</v>
      </c>
    </row>
    <row r="341">
      <c r="B341" s="3">
        <f t="shared" si="1"/>
        <v>0.064</v>
      </c>
      <c r="C341" s="3">
        <f t="shared" si="2"/>
        <v>12</v>
      </c>
      <c r="D341" s="11">
        <f t="shared" si="3"/>
        <v>28.25</v>
      </c>
      <c r="E341" s="3">
        <f t="shared" si="4"/>
        <v>1000</v>
      </c>
      <c r="F341" s="2">
        <f t="shared" si="5"/>
        <v>-100778.046</v>
      </c>
    </row>
    <row r="342">
      <c r="B342" s="3">
        <f t="shared" si="1"/>
        <v>0.064</v>
      </c>
      <c r="C342" s="3">
        <f t="shared" si="2"/>
        <v>12</v>
      </c>
      <c r="D342" s="11">
        <f t="shared" si="3"/>
        <v>28.33333333</v>
      </c>
      <c r="E342" s="3">
        <f t="shared" si="4"/>
        <v>1000</v>
      </c>
      <c r="F342" s="2">
        <f t="shared" si="5"/>
        <v>-102315.5289</v>
      </c>
    </row>
    <row r="343">
      <c r="B343" s="3">
        <f t="shared" si="1"/>
        <v>0.064</v>
      </c>
      <c r="C343" s="3">
        <f t="shared" si="2"/>
        <v>12</v>
      </c>
      <c r="D343" s="11">
        <f t="shared" si="3"/>
        <v>28.41666667</v>
      </c>
      <c r="E343" s="3">
        <f t="shared" si="4"/>
        <v>1000</v>
      </c>
      <c r="F343" s="2">
        <f t="shared" si="5"/>
        <v>-103861.2117</v>
      </c>
    </row>
    <row r="344">
      <c r="B344" s="3">
        <f t="shared" si="1"/>
        <v>0.064</v>
      </c>
      <c r="C344" s="3">
        <f t="shared" si="2"/>
        <v>12</v>
      </c>
      <c r="D344" s="11">
        <f t="shared" si="3"/>
        <v>28.5</v>
      </c>
      <c r="E344" s="3">
        <f t="shared" si="4"/>
        <v>1000</v>
      </c>
      <c r="F344" s="2">
        <f t="shared" si="5"/>
        <v>-105415.1382</v>
      </c>
    </row>
    <row r="345">
      <c r="B345" s="3">
        <f t="shared" si="1"/>
        <v>0.064</v>
      </c>
      <c r="C345" s="3">
        <f t="shared" si="2"/>
        <v>12</v>
      </c>
      <c r="D345" s="11">
        <f t="shared" si="3"/>
        <v>28.58333333</v>
      </c>
      <c r="E345" s="3">
        <f t="shared" si="4"/>
        <v>1000</v>
      </c>
      <c r="F345" s="2">
        <f t="shared" si="5"/>
        <v>-106977.3523</v>
      </c>
    </row>
    <row r="346">
      <c r="B346" s="3">
        <f t="shared" si="1"/>
        <v>0.064</v>
      </c>
      <c r="C346" s="3">
        <f t="shared" si="2"/>
        <v>12</v>
      </c>
      <c r="D346" s="11">
        <f t="shared" si="3"/>
        <v>28.66666667</v>
      </c>
      <c r="E346" s="3">
        <f t="shared" si="4"/>
        <v>1000</v>
      </c>
      <c r="F346" s="2">
        <f t="shared" si="5"/>
        <v>-108547.8982</v>
      </c>
    </row>
    <row r="347">
      <c r="B347" s="3">
        <f t="shared" si="1"/>
        <v>0.064</v>
      </c>
      <c r="C347" s="3">
        <f t="shared" si="2"/>
        <v>12</v>
      </c>
      <c r="D347" s="11">
        <f t="shared" si="3"/>
        <v>28.75</v>
      </c>
      <c r="E347" s="3">
        <f t="shared" si="4"/>
        <v>1000</v>
      </c>
      <c r="F347" s="2">
        <f t="shared" si="5"/>
        <v>-110126.8203</v>
      </c>
    </row>
    <row r="348">
      <c r="B348" s="3">
        <f t="shared" si="1"/>
        <v>0.064</v>
      </c>
      <c r="C348" s="3">
        <f t="shared" si="2"/>
        <v>12</v>
      </c>
      <c r="D348" s="11">
        <f t="shared" si="3"/>
        <v>28.83333333</v>
      </c>
      <c r="E348" s="3">
        <f t="shared" si="4"/>
        <v>1000</v>
      </c>
      <c r="F348" s="2">
        <f t="shared" si="5"/>
        <v>-111714.1633</v>
      </c>
    </row>
    <row r="349">
      <c r="B349" s="3">
        <f t="shared" si="1"/>
        <v>0.064</v>
      </c>
      <c r="C349" s="3">
        <f t="shared" si="2"/>
        <v>12</v>
      </c>
      <c r="D349" s="11">
        <f t="shared" si="3"/>
        <v>28.91666667</v>
      </c>
      <c r="E349" s="3">
        <f t="shared" si="4"/>
        <v>1000</v>
      </c>
      <c r="F349" s="2">
        <f t="shared" si="5"/>
        <v>-113309.9722</v>
      </c>
    </row>
    <row r="350">
      <c r="B350" s="3">
        <f t="shared" si="1"/>
        <v>0.064</v>
      </c>
      <c r="C350" s="3">
        <f t="shared" si="2"/>
        <v>12</v>
      </c>
      <c r="D350" s="11">
        <f t="shared" si="3"/>
        <v>29</v>
      </c>
      <c r="E350" s="3">
        <f t="shared" si="4"/>
        <v>1000</v>
      </c>
      <c r="F350" s="2">
        <f t="shared" si="5"/>
        <v>-114914.292</v>
      </c>
    </row>
    <row r="351">
      <c r="B351" s="3">
        <f t="shared" si="1"/>
        <v>0.064</v>
      </c>
      <c r="C351" s="3">
        <f t="shared" si="2"/>
        <v>12</v>
      </c>
      <c r="D351" s="11">
        <f t="shared" si="3"/>
        <v>29.08333333</v>
      </c>
      <c r="E351" s="3">
        <f t="shared" si="4"/>
        <v>1000</v>
      </c>
      <c r="F351" s="2">
        <f t="shared" si="5"/>
        <v>-116527.1683</v>
      </c>
    </row>
    <row r="352">
      <c r="B352" s="3">
        <f t="shared" si="1"/>
        <v>0.064</v>
      </c>
      <c r="C352" s="3">
        <f t="shared" si="2"/>
        <v>12</v>
      </c>
      <c r="D352" s="11">
        <f t="shared" si="3"/>
        <v>29.16666667</v>
      </c>
      <c r="E352" s="3">
        <f t="shared" si="4"/>
        <v>1000</v>
      </c>
      <c r="F352" s="2">
        <f t="shared" si="5"/>
        <v>-118148.6465</v>
      </c>
    </row>
    <row r="353">
      <c r="B353" s="3">
        <f t="shared" si="1"/>
        <v>0.064</v>
      </c>
      <c r="C353" s="3">
        <f t="shared" si="2"/>
        <v>12</v>
      </c>
      <c r="D353" s="11">
        <f t="shared" si="3"/>
        <v>29.25</v>
      </c>
      <c r="E353" s="3">
        <f t="shared" si="4"/>
        <v>1000</v>
      </c>
      <c r="F353" s="2">
        <f t="shared" si="5"/>
        <v>-119778.7726</v>
      </c>
    </row>
    <row r="354">
      <c r="B354" s="3">
        <f t="shared" si="1"/>
        <v>0.064</v>
      </c>
      <c r="C354" s="3">
        <f t="shared" si="2"/>
        <v>12</v>
      </c>
      <c r="D354" s="11">
        <f t="shared" si="3"/>
        <v>29.33333333</v>
      </c>
      <c r="E354" s="3">
        <f t="shared" si="4"/>
        <v>1000</v>
      </c>
      <c r="F354" s="2">
        <f t="shared" si="5"/>
        <v>-121417.5927</v>
      </c>
    </row>
    <row r="355">
      <c r="B355" s="3">
        <f t="shared" si="1"/>
        <v>0.064</v>
      </c>
      <c r="C355" s="3">
        <f t="shared" si="2"/>
        <v>12</v>
      </c>
      <c r="D355" s="11">
        <f t="shared" si="3"/>
        <v>29.41666667</v>
      </c>
      <c r="E355" s="3">
        <f t="shared" si="4"/>
        <v>1000</v>
      </c>
      <c r="F355" s="2">
        <f t="shared" si="5"/>
        <v>-123065.1532</v>
      </c>
    </row>
    <row r="356">
      <c r="B356" s="3">
        <f t="shared" si="1"/>
        <v>0.064</v>
      </c>
      <c r="C356" s="3">
        <f t="shared" si="2"/>
        <v>12</v>
      </c>
      <c r="D356" s="11">
        <f t="shared" si="3"/>
        <v>29.5</v>
      </c>
      <c r="E356" s="3">
        <f t="shared" si="4"/>
        <v>1000</v>
      </c>
      <c r="F356" s="2">
        <f t="shared" si="5"/>
        <v>-124721.5007</v>
      </c>
    </row>
    <row r="357">
      <c r="B357" s="3">
        <f t="shared" si="1"/>
        <v>0.064</v>
      </c>
      <c r="C357" s="3">
        <f t="shared" si="2"/>
        <v>12</v>
      </c>
      <c r="D357" s="11">
        <f t="shared" si="3"/>
        <v>29.58333333</v>
      </c>
      <c r="E357" s="3">
        <f t="shared" si="4"/>
        <v>1000</v>
      </c>
      <c r="F357" s="2">
        <f t="shared" si="5"/>
        <v>-126386.6821</v>
      </c>
    </row>
    <row r="358">
      <c r="B358" s="3">
        <f t="shared" si="1"/>
        <v>0.064</v>
      </c>
      <c r="C358" s="3">
        <f t="shared" si="2"/>
        <v>12</v>
      </c>
      <c r="D358" s="11">
        <f t="shared" si="3"/>
        <v>29.66666667</v>
      </c>
      <c r="E358" s="3">
        <f t="shared" si="4"/>
        <v>1000</v>
      </c>
      <c r="F358" s="2">
        <f t="shared" si="5"/>
        <v>-128060.7444</v>
      </c>
    </row>
    <row r="359">
      <c r="B359" s="3">
        <f t="shared" si="1"/>
        <v>0.064</v>
      </c>
      <c r="C359" s="3">
        <f t="shared" si="2"/>
        <v>12</v>
      </c>
      <c r="D359" s="11">
        <f t="shared" si="3"/>
        <v>29.75</v>
      </c>
      <c r="E359" s="3">
        <f t="shared" si="4"/>
        <v>1000</v>
      </c>
      <c r="F359" s="2">
        <f t="shared" si="5"/>
        <v>-129743.735</v>
      </c>
    </row>
    <row r="360">
      <c r="B360" s="3">
        <f t="shared" si="1"/>
        <v>0.064</v>
      </c>
      <c r="C360" s="3">
        <f t="shared" si="2"/>
        <v>12</v>
      </c>
      <c r="D360" s="11">
        <f t="shared" si="3"/>
        <v>29.83333333</v>
      </c>
      <c r="E360" s="3">
        <f t="shared" si="4"/>
        <v>1000</v>
      </c>
      <c r="F360" s="2">
        <f t="shared" si="5"/>
        <v>-131435.7016</v>
      </c>
    </row>
    <row r="361">
      <c r="B361" s="3">
        <f t="shared" si="1"/>
        <v>0.064</v>
      </c>
      <c r="C361" s="3">
        <f t="shared" si="2"/>
        <v>12</v>
      </c>
      <c r="D361" s="11">
        <f t="shared" si="3"/>
        <v>29.91666667</v>
      </c>
      <c r="E361" s="3">
        <f t="shared" si="4"/>
        <v>1000</v>
      </c>
      <c r="F361" s="2">
        <f t="shared" si="5"/>
        <v>-133136.692</v>
      </c>
    </row>
    <row r="362">
      <c r="A362" s="18"/>
      <c r="B362" s="18">
        <f t="shared" si="1"/>
        <v>0.064</v>
      </c>
      <c r="C362" s="18">
        <f t="shared" si="2"/>
        <v>12</v>
      </c>
      <c r="D362" s="19">
        <f t="shared" si="3"/>
        <v>30</v>
      </c>
      <c r="E362" s="18">
        <f t="shared" si="4"/>
        <v>1000</v>
      </c>
      <c r="F362" s="21">
        <f t="shared" si="5"/>
        <v>-134846.7543</v>
      </c>
    </row>
    <row r="363">
      <c r="A363" s="18"/>
      <c r="B363" s="18">
        <f t="shared" si="1"/>
        <v>0.064</v>
      </c>
      <c r="C363" s="18">
        <f t="shared" si="2"/>
        <v>12</v>
      </c>
      <c r="D363" s="19">
        <f t="shared" si="3"/>
        <v>30.08333333</v>
      </c>
      <c r="E363" s="18">
        <f t="shared" si="4"/>
        <v>1000</v>
      </c>
      <c r="F363" s="21">
        <f t="shared" si="5"/>
        <v>-136565.937</v>
      </c>
    </row>
    <row r="364">
      <c r="B364" s="3">
        <f t="shared" si="1"/>
        <v>0.064</v>
      </c>
      <c r="C364" s="3">
        <f t="shared" si="2"/>
        <v>12</v>
      </c>
      <c r="D364" s="11">
        <f t="shared" si="3"/>
        <v>30.16666667</v>
      </c>
      <c r="E364" s="3">
        <f t="shared" si="4"/>
        <v>1000</v>
      </c>
      <c r="F364" s="2">
        <f t="shared" si="5"/>
        <v>-138294.2887</v>
      </c>
    </row>
    <row r="365">
      <c r="B365" s="3">
        <f t="shared" si="1"/>
        <v>0.064</v>
      </c>
      <c r="C365" s="3">
        <f t="shared" si="2"/>
        <v>12</v>
      </c>
      <c r="D365" s="11">
        <f t="shared" si="3"/>
        <v>30.25</v>
      </c>
      <c r="E365" s="3">
        <f t="shared" si="4"/>
        <v>1000</v>
      </c>
      <c r="F365" s="2">
        <f t="shared" si="5"/>
        <v>-140031.8582</v>
      </c>
    </row>
    <row r="366">
      <c r="B366" s="3">
        <f t="shared" si="1"/>
        <v>0.064</v>
      </c>
      <c r="C366" s="3">
        <f t="shared" si="2"/>
        <v>12</v>
      </c>
      <c r="D366" s="11">
        <f t="shared" si="3"/>
        <v>30.33333333</v>
      </c>
      <c r="E366" s="3">
        <f t="shared" si="4"/>
        <v>1000</v>
      </c>
      <c r="F366" s="2">
        <f t="shared" si="5"/>
        <v>-141778.6948</v>
      </c>
    </row>
    <row r="367">
      <c r="B367" s="3">
        <f t="shared" si="1"/>
        <v>0.064</v>
      </c>
      <c r="C367" s="3">
        <f t="shared" si="2"/>
        <v>12</v>
      </c>
      <c r="D367" s="11">
        <f t="shared" si="3"/>
        <v>30.41666667</v>
      </c>
      <c r="E367" s="3">
        <f t="shared" si="4"/>
        <v>1000</v>
      </c>
      <c r="F367" s="2">
        <f t="shared" si="5"/>
        <v>-143534.8479</v>
      </c>
    </row>
    <row r="368">
      <c r="B368" s="3">
        <f t="shared" si="1"/>
        <v>0.064</v>
      </c>
      <c r="C368" s="3">
        <f t="shared" si="2"/>
        <v>12</v>
      </c>
      <c r="D368" s="11">
        <f t="shared" si="3"/>
        <v>30.5</v>
      </c>
      <c r="E368" s="3">
        <f t="shared" si="4"/>
        <v>1000</v>
      </c>
      <c r="F368" s="2">
        <f t="shared" si="5"/>
        <v>-145300.367</v>
      </c>
    </row>
    <row r="369">
      <c r="B369" s="3">
        <f t="shared" si="1"/>
        <v>0.064</v>
      </c>
      <c r="C369" s="3">
        <f t="shared" si="2"/>
        <v>12</v>
      </c>
      <c r="D369" s="11">
        <f t="shared" si="3"/>
        <v>30.58333333</v>
      </c>
      <c r="E369" s="3">
        <f t="shared" si="4"/>
        <v>1000</v>
      </c>
      <c r="F369" s="2">
        <f t="shared" si="5"/>
        <v>-147075.3023</v>
      </c>
    </row>
    <row r="370">
      <c r="B370" s="3">
        <f t="shared" si="1"/>
        <v>0.064</v>
      </c>
      <c r="C370" s="3">
        <f t="shared" si="2"/>
        <v>12</v>
      </c>
      <c r="D370" s="11">
        <f t="shared" si="3"/>
        <v>30.66666667</v>
      </c>
      <c r="E370" s="3">
        <f t="shared" si="4"/>
        <v>1000</v>
      </c>
      <c r="F370" s="2">
        <f t="shared" si="5"/>
        <v>-148859.7039</v>
      </c>
    </row>
    <row r="371">
      <c r="B371" s="3">
        <f t="shared" si="1"/>
        <v>0.064</v>
      </c>
      <c r="C371" s="3">
        <f t="shared" si="2"/>
        <v>12</v>
      </c>
      <c r="D371" s="11">
        <f t="shared" si="3"/>
        <v>30.75</v>
      </c>
      <c r="E371" s="3">
        <f t="shared" si="4"/>
        <v>1000</v>
      </c>
      <c r="F371" s="2">
        <f t="shared" si="5"/>
        <v>-150653.6224</v>
      </c>
    </row>
    <row r="372">
      <c r="B372" s="3">
        <f t="shared" si="1"/>
        <v>0.064</v>
      </c>
      <c r="C372" s="3">
        <f t="shared" si="2"/>
        <v>12</v>
      </c>
      <c r="D372" s="11">
        <f t="shared" si="3"/>
        <v>30.83333333</v>
      </c>
      <c r="E372" s="3">
        <f t="shared" si="4"/>
        <v>1000</v>
      </c>
      <c r="F372" s="2">
        <f t="shared" si="5"/>
        <v>-152457.1084</v>
      </c>
    </row>
    <row r="373">
      <c r="B373" s="3">
        <f t="shared" si="1"/>
        <v>0.064</v>
      </c>
      <c r="C373" s="3">
        <f t="shared" si="2"/>
        <v>12</v>
      </c>
      <c r="D373" s="11">
        <f t="shared" si="3"/>
        <v>30.91666667</v>
      </c>
      <c r="E373" s="3">
        <f t="shared" si="4"/>
        <v>1000</v>
      </c>
      <c r="F373" s="2">
        <f t="shared" si="5"/>
        <v>-154270.2129</v>
      </c>
    </row>
    <row r="374">
      <c r="B374" s="3">
        <f t="shared" si="1"/>
        <v>0.064</v>
      </c>
      <c r="C374" s="3">
        <f t="shared" si="2"/>
        <v>12</v>
      </c>
      <c r="D374" s="11">
        <f t="shared" si="3"/>
        <v>31</v>
      </c>
      <c r="E374" s="3">
        <f t="shared" si="4"/>
        <v>1000</v>
      </c>
      <c r="F374" s="2">
        <f t="shared" si="5"/>
        <v>-156092.9874</v>
      </c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1.88"/>
  </cols>
  <sheetData>
    <row r="1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7"/>
      <c r="G1" s="24" t="s">
        <v>34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G2" s="25" t="s">
        <v>40</v>
      </c>
    </row>
    <row r="3">
      <c r="A3" s="26">
        <f t="shared" ref="A3:A5" si="1">E3*(1-(1+B3/C3)^(-C3*D3))/(B3/C3)</f>
        <v>115524.2124</v>
      </c>
      <c r="B3" s="1">
        <v>0.064</v>
      </c>
      <c r="C3" s="3">
        <f t="shared" ref="C3:C5" si="2">12</f>
        <v>12</v>
      </c>
      <c r="D3" s="1">
        <v>15.0</v>
      </c>
      <c r="E3" s="3">
        <f t="shared" ref="E3:E5" si="3">1000</f>
        <v>1000</v>
      </c>
    </row>
    <row r="4">
      <c r="A4" s="26">
        <f t="shared" si="1"/>
        <v>123185.082</v>
      </c>
      <c r="B4" s="16">
        <v>0.054</v>
      </c>
      <c r="C4" s="3">
        <f t="shared" si="2"/>
        <v>12</v>
      </c>
      <c r="D4" s="1">
        <v>15.0</v>
      </c>
      <c r="E4" s="3">
        <f t="shared" si="3"/>
        <v>1000</v>
      </c>
    </row>
    <row r="5">
      <c r="A5" s="26">
        <f t="shared" si="1"/>
        <v>159870.592</v>
      </c>
      <c r="B5" s="1">
        <v>0.064</v>
      </c>
      <c r="C5" s="3">
        <f t="shared" si="2"/>
        <v>12</v>
      </c>
      <c r="D5" s="16">
        <v>30.0</v>
      </c>
      <c r="E5" s="3">
        <f t="shared" si="3"/>
        <v>1000</v>
      </c>
    </row>
    <row r="7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G7" s="14" t="s">
        <v>41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G8" s="14" t="s">
        <v>42</v>
      </c>
    </row>
    <row r="9">
      <c r="A9" s="2">
        <f t="shared" ref="A9:A11" si="4">160000</f>
        <v>160000</v>
      </c>
      <c r="B9" s="1">
        <v>0.064</v>
      </c>
      <c r="C9" s="3">
        <f t="shared" ref="C9:C11" si="5">12</f>
        <v>12</v>
      </c>
      <c r="D9" s="1">
        <v>15.0</v>
      </c>
      <c r="E9" s="20">
        <f t="shared" ref="E9:E11" si="6"> (A9*B9/C9) / (1 - (1+B9/C9)^(-C9*D9))</f>
        <v>1384.991048</v>
      </c>
    </row>
    <row r="10">
      <c r="A10" s="2">
        <f t="shared" si="4"/>
        <v>160000</v>
      </c>
      <c r="B10" s="16">
        <v>0.054</v>
      </c>
      <c r="C10" s="3">
        <f t="shared" si="5"/>
        <v>12</v>
      </c>
      <c r="D10" s="1">
        <v>15.0</v>
      </c>
      <c r="E10" s="20">
        <f t="shared" si="6"/>
        <v>1298.858574</v>
      </c>
    </row>
    <row r="11">
      <c r="A11" s="2">
        <f t="shared" si="4"/>
        <v>160000</v>
      </c>
      <c r="B11" s="1">
        <v>0.064</v>
      </c>
      <c r="C11" s="3">
        <f t="shared" si="5"/>
        <v>12</v>
      </c>
      <c r="D11" s="16">
        <v>30.0</v>
      </c>
      <c r="E11" s="20">
        <f t="shared" si="6"/>
        <v>1000.809455</v>
      </c>
    </row>
  </sheetData>
  <drawing r:id="rId1"/>
</worksheet>
</file>