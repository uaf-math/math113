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copy" sheetId="2" r:id="rId6"/>
  </sheets>
  <definedNames/>
  <calcPr/>
</workbook>
</file>

<file path=xl/sharedStrings.xml><?xml version="1.0" encoding="utf-8"?>
<sst xmlns="http://schemas.openxmlformats.org/spreadsheetml/2006/main" count="30" uniqueCount="16">
  <si>
    <t>interest rate</t>
  </si>
  <si>
    <t>times per year</t>
  </si>
  <si>
    <t>principal</t>
  </si>
  <si>
    <t>time elapsed (in years)</t>
  </si>
  <si>
    <t>A (simple)</t>
  </si>
  <si>
    <t>A (compound)</t>
  </si>
  <si>
    <t>r</t>
  </si>
  <si>
    <t>n</t>
  </si>
  <si>
    <t xml:space="preserve">P </t>
  </si>
  <si>
    <t xml:space="preserve">t </t>
  </si>
  <si>
    <t xml:space="preserve">A = P(1+t*(r/n)) </t>
  </si>
  <si>
    <t>A=P(1+r/n)^(t*n)</t>
  </si>
  <si>
    <t>interest</t>
  </si>
  <si>
    <t>percent increase</t>
  </si>
  <si>
    <t xml:space="preserve">A = P(1+(r/n)*(t*n)) </t>
  </si>
  <si>
    <t>A=P(1+r/n)^(tn)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</si>
</sst>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3">
    <font>
      <sz val="10.0"/>
      <color rgb="FF000000"/>
      <name val="Arial"/>
      <scheme val="minor"/>
    </font>
    <font>
      <sz val="13.0"/>
      <color theme="1"/>
      <name val="Arial"/>
      <scheme val="minor"/>
    </font>
    <font>
      <sz val="12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</fills>
  <borders count="2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3" fontId="1" numFmtId="0" xfId="0" applyAlignment="1" applyFill="1" applyFont="1">
      <alignment readingOrder="0" shrinkToFit="0" wrapText="1"/>
    </xf>
    <xf borderId="0" fillId="4" fontId="1" numFmtId="0" xfId="0" applyAlignment="1" applyFill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2" fontId="1" numFmtId="0" xfId="0" applyAlignment="1" applyFont="1">
      <alignment readingOrder="0"/>
    </xf>
    <xf borderId="0" fillId="3" fontId="1" numFmtId="164" xfId="0" applyAlignment="1" applyFont="1" applyNumberFormat="1">
      <alignment readingOrder="0"/>
    </xf>
    <xf borderId="0" fillId="4" fontId="1" numFmtId="164" xfId="0" applyAlignment="1" applyFont="1" applyNumberFormat="1">
      <alignment readingOrder="0"/>
    </xf>
    <xf borderId="0" fillId="0" fontId="1" numFmtId="0" xfId="0" applyFont="1"/>
    <xf borderId="1" fillId="0" fontId="1" numFmtId="0" xfId="0" applyAlignment="1" applyBorder="1" applyFont="1">
      <alignment readingOrder="0"/>
    </xf>
    <xf borderId="1" fillId="0" fontId="1" numFmtId="0" xfId="0" applyBorder="1" applyFont="1"/>
    <xf borderId="1" fillId="0" fontId="1" numFmtId="164" xfId="0" applyBorder="1" applyFont="1" applyNumberFormat="1"/>
    <xf borderId="0" fillId="0" fontId="1" numFmtId="164" xfId="0" applyFont="1" applyNumberFormat="1"/>
    <xf borderId="0" fillId="2" fontId="2" numFmtId="0" xfId="0" applyAlignment="1" applyFont="1">
      <alignment readingOrder="0"/>
    </xf>
    <xf borderId="0" fillId="3" fontId="2" numFmtId="164" xfId="0" applyFont="1" applyNumberFormat="1"/>
    <xf borderId="0" fillId="4" fontId="2" numFmtId="164" xfId="0" applyFont="1" applyNumberFormat="1"/>
    <xf borderId="0" fillId="3" fontId="2" numFmtId="10" xfId="0" applyFont="1" applyNumberFormat="1"/>
    <xf borderId="0" fillId="4" fontId="2" numFmtId="10" xfId="0" applyFont="1" applyNumberFormat="1"/>
    <xf borderId="1" fillId="5" fontId="1" numFmtId="0" xfId="0" applyBorder="1" applyFill="1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0"/>
    <col customWidth="1" min="2" max="2" width="11.5"/>
    <col customWidth="1" min="3" max="3" width="14.0"/>
    <col customWidth="1" min="4" max="4" width="16.25"/>
    <col customWidth="1" min="5" max="5" width="23.63"/>
    <col customWidth="1" min="6" max="6" width="2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>
      <c r="A2" s="5" t="s">
        <v>6</v>
      </c>
      <c r="B2" s="5" t="s">
        <v>7</v>
      </c>
      <c r="C2" s="5" t="s">
        <v>8</v>
      </c>
      <c r="D2" s="5" t="s">
        <v>9</v>
      </c>
      <c r="E2" s="6" t="s">
        <v>10</v>
      </c>
      <c r="F2" s="7" t="s">
        <v>11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</row>
    <row r="3">
      <c r="A3" s="9">
        <f>0.06</f>
        <v>0.06</v>
      </c>
      <c r="B3" s="10">
        <f>4</f>
        <v>4</v>
      </c>
      <c r="C3" s="10">
        <f>2000</f>
        <v>2000</v>
      </c>
      <c r="D3" s="10">
        <f>5</f>
        <v>5</v>
      </c>
      <c r="E3" s="11">
        <f>C3*(1+D3*B3*(A3/B3))</f>
        <v>2600</v>
      </c>
      <c r="F3" s="11">
        <f>C3*(1+A3/B3)^(D3*B3)</f>
        <v>2693.710013</v>
      </c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</row>
    <row r="4">
      <c r="A4" s="8"/>
      <c r="B4" s="8"/>
      <c r="C4" s="8"/>
      <c r="D4" s="8"/>
      <c r="E4" s="12"/>
      <c r="F4" s="12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</row>
    <row r="5">
      <c r="D5" s="13" t="s">
        <v>12</v>
      </c>
      <c r="E5" s="14">
        <f>E3-C3</f>
        <v>600</v>
      </c>
      <c r="F5" s="15">
        <f>F3-C3</f>
        <v>693.7100131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</row>
    <row r="6">
      <c r="D6" s="13" t="s">
        <v>13</v>
      </c>
      <c r="E6" s="16">
        <f>E5/C3</f>
        <v>0.3</v>
      </c>
      <c r="F6" s="17">
        <f>F5/C3</f>
        <v>0.3468550066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</row>
    <row r="7"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</row>
    <row r="8">
      <c r="A8" s="9">
        <f>0.06</f>
        <v>0.06</v>
      </c>
      <c r="B8" s="10">
        <f>4</f>
        <v>4</v>
      </c>
      <c r="C8" s="10">
        <f>2000</f>
        <v>2000</v>
      </c>
      <c r="D8" s="18">
        <f>30</f>
        <v>30</v>
      </c>
      <c r="E8" s="11">
        <f>C8*(1+D8*B8*(A8/B8))</f>
        <v>5600</v>
      </c>
      <c r="F8" s="11">
        <f>C8*(1+A8/B8)^(D8*B8)</f>
        <v>11938.64574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>
      <c r="A9" s="8"/>
      <c r="B9" s="8"/>
      <c r="C9" s="8"/>
      <c r="D9" s="8"/>
      <c r="E9" s="12"/>
      <c r="F9" s="12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>
      <c r="A10" s="8"/>
      <c r="B10" s="8"/>
      <c r="C10" s="8"/>
      <c r="D10" s="13" t="s">
        <v>12</v>
      </c>
      <c r="E10" s="14">
        <f>E8-C8</f>
        <v>3600</v>
      </c>
      <c r="F10" s="15">
        <f>F8-C8</f>
        <v>9938.645745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>
      <c r="A11" s="8"/>
      <c r="B11" s="8"/>
      <c r="C11" s="8"/>
      <c r="D11" s="13" t="s">
        <v>13</v>
      </c>
      <c r="E11" s="16">
        <f>E10/C8</f>
        <v>1.8</v>
      </c>
      <c r="F11" s="17">
        <f>F10/C8</f>
        <v>4.969322872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>
      <c r="A13" s="9">
        <f>0.06</f>
        <v>0.06</v>
      </c>
      <c r="B13" s="10">
        <f>4</f>
        <v>4</v>
      </c>
      <c r="C13" s="18">
        <f>4000</f>
        <v>4000</v>
      </c>
      <c r="D13" s="9">
        <v>30.0</v>
      </c>
      <c r="E13" s="11">
        <f>C13*(1+D13*B13*(A13/B13))</f>
        <v>11200</v>
      </c>
      <c r="F13" s="11">
        <f>C13*(1+A13/B13)^(D13*B13)</f>
        <v>23877.29149</v>
      </c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>
      <c r="A15" s="8"/>
      <c r="B15" s="8"/>
      <c r="C15" s="8"/>
      <c r="D15" s="13" t="s">
        <v>12</v>
      </c>
      <c r="E15" s="14">
        <f>E13-C13</f>
        <v>7200</v>
      </c>
      <c r="F15" s="15">
        <f>F13-C13</f>
        <v>19877.29149</v>
      </c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>
      <c r="A16" s="8"/>
      <c r="B16" s="8"/>
      <c r="C16" s="8"/>
      <c r="D16" s="13" t="s">
        <v>13</v>
      </c>
      <c r="E16" s="16">
        <f>E15/C13</f>
        <v>1.8</v>
      </c>
      <c r="F16" s="17">
        <f>F15/C13</f>
        <v>4.969322872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>
      <c r="A23" s="8"/>
      <c r="B23" s="8"/>
      <c r="C23" s="8"/>
      <c r="D23" s="8"/>
      <c r="E23" s="12"/>
      <c r="F23" s="12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>
      <c r="A24" s="19"/>
      <c r="B24" s="8"/>
      <c r="C24" s="8"/>
      <c r="D24" s="8"/>
      <c r="E24" s="12"/>
      <c r="F24" s="12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</row>
    <row r="100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8.13"/>
    <col customWidth="1" min="6" max="6" width="2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</row>
    <row r="2">
      <c r="A2" s="5" t="s">
        <v>6</v>
      </c>
      <c r="B2" s="5" t="s">
        <v>7</v>
      </c>
      <c r="C2" s="5" t="s">
        <v>8</v>
      </c>
      <c r="D2" s="5" t="s">
        <v>9</v>
      </c>
      <c r="E2" s="6" t="s">
        <v>14</v>
      </c>
      <c r="F2" s="7" t="s">
        <v>15</v>
      </c>
    </row>
    <row r="3">
      <c r="A3" s="9">
        <f>0.06</f>
        <v>0.06</v>
      </c>
      <c r="B3" s="10">
        <f>4</f>
        <v>4</v>
      </c>
      <c r="C3" s="10">
        <f>2000</f>
        <v>2000</v>
      </c>
      <c r="D3" s="10">
        <f>5</f>
        <v>5</v>
      </c>
      <c r="E3" s="11">
        <f>C3*(1+(A3/B3)*(D3*B3))</f>
        <v>2600</v>
      </c>
      <c r="F3" s="11">
        <f>C3*(1+A3/B3)^(D3*B3)</f>
        <v>2693.710013</v>
      </c>
    </row>
    <row r="4">
      <c r="A4" s="8"/>
      <c r="B4" s="8"/>
      <c r="C4" s="8"/>
      <c r="D4" s="8"/>
      <c r="E4" s="12"/>
      <c r="F4" s="12"/>
    </row>
  </sheetData>
  <drawing r:id="rId1"/>
</worksheet>
</file>